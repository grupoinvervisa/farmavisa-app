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D8E9B68-33EA-46E1-BFB2-2B4A409AC44D}" xr6:coauthVersionLast="47" xr6:coauthVersionMax="47" xr10:uidLastSave="{00000000-0000-0000-0000-000000000000}"/>
  <bookViews>
    <workbookView xWindow="-120" yWindow="-120" windowWidth="20730" windowHeight="11040" tabRatio="874" activeTab="7" xr2:uid="{BEA16B71-FE3A-4F3E-BD5F-E87CB848FD8F}"/>
  </bookViews>
  <sheets>
    <sheet name="Programación de pagos" sheetId="6" r:id="rId1"/>
    <sheet name="Contro de Caja" sheetId="3" r:id="rId2"/>
    <sheet name="Sacar precio" sheetId="9" r:id="rId3"/>
    <sheet name="Arqueo de Caja General" sheetId="4" r:id="rId4"/>
    <sheet name="Arqueo de Caja" sheetId="7" r:id="rId5"/>
    <sheet name="Raya" sheetId="8" r:id="rId6"/>
    <sheet name="NO TOCAR" sheetId="5" r:id="rId7"/>
    <sheet name="Hoja1" sheetId="10" r:id="rId8"/>
  </sheets>
  <definedNames>
    <definedName name="_xlnm._FilterDatabase" localSheetId="1" hidden="1">'Contro de Caja'!$A$1:$P$425</definedName>
    <definedName name="_xlnm._FilterDatabase" localSheetId="0" hidden="1">'Programación de pagos'!$A$1:$H$635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18" i="3" l="1"/>
  <c r="P419" i="3"/>
  <c r="P420" i="3"/>
  <c r="P421" i="3"/>
  <c r="P422" i="3"/>
  <c r="P423" i="3"/>
  <c r="N418" i="3"/>
  <c r="N419" i="3"/>
  <c r="N420" i="3"/>
  <c r="N421" i="3"/>
  <c r="N422" i="3"/>
  <c r="M418" i="3"/>
  <c r="M419" i="3"/>
  <c r="M420" i="3"/>
  <c r="M421" i="3"/>
  <c r="M422" i="3"/>
  <c r="M423" i="3"/>
  <c r="I418" i="3"/>
  <c r="I419" i="3"/>
  <c r="I420" i="3"/>
  <c r="I421" i="3"/>
  <c r="I422" i="3"/>
  <c r="I423" i="3"/>
  <c r="H418" i="3"/>
  <c r="H419" i="3"/>
  <c r="H420" i="3"/>
  <c r="H421" i="3"/>
  <c r="H422" i="3"/>
  <c r="H423" i="3"/>
  <c r="L413" i="3"/>
  <c r="N411" i="3"/>
  <c r="P411" i="3" s="1"/>
  <c r="N412" i="3"/>
  <c r="P412" i="3" s="1"/>
  <c r="N413" i="3"/>
  <c r="P413" i="3" s="1"/>
  <c r="N414" i="3"/>
  <c r="P414" i="3" s="1"/>
  <c r="N415" i="3"/>
  <c r="P415" i="3" s="1"/>
  <c r="N416" i="3"/>
  <c r="P416" i="3" s="1"/>
  <c r="N417" i="3"/>
  <c r="P417" i="3" s="1"/>
  <c r="N423" i="3"/>
  <c r="H411" i="3"/>
  <c r="M411" i="3" s="1"/>
  <c r="H412" i="3"/>
  <c r="M412" i="3" s="1"/>
  <c r="H413" i="3"/>
  <c r="M413" i="3" s="1"/>
  <c r="H414" i="3"/>
  <c r="I414" i="3" s="1"/>
  <c r="H415" i="3"/>
  <c r="M415" i="3" s="1"/>
  <c r="H416" i="3"/>
  <c r="M416" i="3" s="1"/>
  <c r="H417" i="3"/>
  <c r="M417" i="3" s="1"/>
  <c r="L407" i="3"/>
  <c r="N407" i="3"/>
  <c r="P407" i="3" s="1"/>
  <c r="N408" i="3"/>
  <c r="P408" i="3" s="1"/>
  <c r="N409" i="3"/>
  <c r="P409" i="3" s="1"/>
  <c r="N410" i="3"/>
  <c r="P410" i="3" s="1"/>
  <c r="H407" i="3"/>
  <c r="M407" i="3" s="1"/>
  <c r="H408" i="3"/>
  <c r="I408" i="3" s="1"/>
  <c r="H409" i="3"/>
  <c r="M409" i="3" s="1"/>
  <c r="H410" i="3"/>
  <c r="M410" i="3" s="1"/>
  <c r="L405" i="3"/>
  <c r="L403" i="3"/>
  <c r="N405" i="3"/>
  <c r="P405" i="3" s="1"/>
  <c r="N406" i="3"/>
  <c r="P406" i="3" s="1"/>
  <c r="N403" i="3"/>
  <c r="P403" i="3" s="1"/>
  <c r="N404" i="3"/>
  <c r="P404" i="3" s="1"/>
  <c r="L402" i="3"/>
  <c r="H403" i="3"/>
  <c r="I403" i="3" s="1"/>
  <c r="H404" i="3"/>
  <c r="M404" i="3" s="1"/>
  <c r="H405" i="3"/>
  <c r="M405" i="3" s="1"/>
  <c r="H406" i="3"/>
  <c r="I406" i="3" s="1"/>
  <c r="P388" i="3"/>
  <c r="N397" i="3"/>
  <c r="P397" i="3" s="1"/>
  <c r="N398" i="3"/>
  <c r="P398" i="3" s="1"/>
  <c r="N399" i="3"/>
  <c r="P399" i="3" s="1"/>
  <c r="N400" i="3"/>
  <c r="P400" i="3" s="1"/>
  <c r="N401" i="3"/>
  <c r="P401" i="3" s="1"/>
  <c r="N402" i="3"/>
  <c r="P402" i="3" s="1"/>
  <c r="H397" i="3"/>
  <c r="M397" i="3" s="1"/>
  <c r="H398" i="3"/>
  <c r="M398" i="3" s="1"/>
  <c r="H399" i="3"/>
  <c r="I399" i="3" s="1"/>
  <c r="H400" i="3"/>
  <c r="M400" i="3" s="1"/>
  <c r="H401" i="3"/>
  <c r="I401" i="3" s="1"/>
  <c r="H402" i="3"/>
  <c r="M402" i="3" s="1"/>
  <c r="L393" i="3"/>
  <c r="L391" i="3"/>
  <c r="N391" i="3"/>
  <c r="P391" i="3" s="1"/>
  <c r="N392" i="3"/>
  <c r="P392" i="3" s="1"/>
  <c r="N393" i="3"/>
  <c r="P393" i="3" s="1"/>
  <c r="N394" i="3"/>
  <c r="P394" i="3" s="1"/>
  <c r="N395" i="3"/>
  <c r="P395" i="3" s="1"/>
  <c r="N396" i="3"/>
  <c r="P396" i="3" s="1"/>
  <c r="N390" i="3"/>
  <c r="P390" i="3" s="1"/>
  <c r="H390" i="3"/>
  <c r="I390" i="3" s="1"/>
  <c r="H391" i="3"/>
  <c r="I391" i="3" s="1"/>
  <c r="H392" i="3"/>
  <c r="I392" i="3" s="1"/>
  <c r="H393" i="3"/>
  <c r="I393" i="3" s="1"/>
  <c r="H394" i="3"/>
  <c r="M394" i="3" s="1"/>
  <c r="H395" i="3"/>
  <c r="M395" i="3" s="1"/>
  <c r="H396" i="3"/>
  <c r="M396" i="3" s="1"/>
  <c r="N383" i="3"/>
  <c r="P383" i="3" s="1"/>
  <c r="N384" i="3"/>
  <c r="P384" i="3" s="1"/>
  <c r="N385" i="3"/>
  <c r="P385" i="3" s="1"/>
  <c r="N386" i="3"/>
  <c r="P386" i="3" s="1"/>
  <c r="N387" i="3"/>
  <c r="P387" i="3" s="1"/>
  <c r="N388" i="3"/>
  <c r="N389" i="3"/>
  <c r="P389" i="3" s="1"/>
  <c r="H383" i="3"/>
  <c r="M383" i="3" s="1"/>
  <c r="H384" i="3"/>
  <c r="M384" i="3" s="1"/>
  <c r="H385" i="3"/>
  <c r="I385" i="3" s="1"/>
  <c r="H386" i="3"/>
  <c r="I386" i="3" s="1"/>
  <c r="H387" i="3"/>
  <c r="M387" i="3" s="1"/>
  <c r="H388" i="3"/>
  <c r="M388" i="3" s="1"/>
  <c r="H389" i="3"/>
  <c r="M389" i="3" s="1"/>
  <c r="H382" i="3"/>
  <c r="M382" i="3" s="1"/>
  <c r="H380" i="3"/>
  <c r="M380" i="3" s="1"/>
  <c r="H381" i="3"/>
  <c r="I381" i="3" s="1"/>
  <c r="L378" i="3"/>
  <c r="L376" i="3"/>
  <c r="L373" i="3"/>
  <c r="L372" i="3"/>
  <c r="E60" i="10"/>
  <c r="J372" i="3"/>
  <c r="J368" i="3"/>
  <c r="E163" i="6"/>
  <c r="N382" i="3"/>
  <c r="P382" i="3" s="1"/>
  <c r="H373" i="3"/>
  <c r="M373" i="3" s="1"/>
  <c r="H374" i="3"/>
  <c r="I374" i="3" s="1"/>
  <c r="H375" i="3"/>
  <c r="I375" i="3" s="1"/>
  <c r="H376" i="3"/>
  <c r="M376" i="3" s="1"/>
  <c r="H377" i="3"/>
  <c r="M377" i="3" s="1"/>
  <c r="H378" i="3"/>
  <c r="I378" i="3" s="1"/>
  <c r="H379" i="3"/>
  <c r="M379" i="3" s="1"/>
  <c r="H371" i="3"/>
  <c r="M371" i="3" s="1"/>
  <c r="H372" i="3"/>
  <c r="I372" i="3" s="1"/>
  <c r="N373" i="3"/>
  <c r="P373" i="3" s="1"/>
  <c r="N374" i="3"/>
  <c r="P374" i="3" s="1"/>
  <c r="N375" i="3"/>
  <c r="P375" i="3" s="1"/>
  <c r="N376" i="3"/>
  <c r="P376" i="3" s="1"/>
  <c r="N377" i="3"/>
  <c r="P377" i="3" s="1"/>
  <c r="N378" i="3"/>
  <c r="P378" i="3" s="1"/>
  <c r="N379" i="3"/>
  <c r="P379" i="3" s="1"/>
  <c r="N380" i="3"/>
  <c r="P380" i="3" s="1"/>
  <c r="E448" i="6"/>
  <c r="E547" i="6"/>
  <c r="E546" i="6"/>
  <c r="N365" i="3"/>
  <c r="P365" i="3" s="1"/>
  <c r="N366" i="3"/>
  <c r="P366" i="3" s="1"/>
  <c r="N367" i="3"/>
  <c r="P367" i="3" s="1"/>
  <c r="N368" i="3"/>
  <c r="P368" i="3" s="1"/>
  <c r="N369" i="3"/>
  <c r="P369" i="3" s="1"/>
  <c r="N370" i="3"/>
  <c r="P370" i="3" s="1"/>
  <c r="N371" i="3"/>
  <c r="P371" i="3" s="1"/>
  <c r="N372" i="3"/>
  <c r="P372" i="3" s="1"/>
  <c r="N381" i="3"/>
  <c r="P381" i="3" s="1"/>
  <c r="H365" i="3"/>
  <c r="I365" i="3" s="1"/>
  <c r="H366" i="3"/>
  <c r="I366" i="3" s="1"/>
  <c r="H367" i="3"/>
  <c r="M367" i="3" s="1"/>
  <c r="H368" i="3"/>
  <c r="H369" i="3"/>
  <c r="I369" i="3" s="1"/>
  <c r="H370" i="3"/>
  <c r="I370" i="3" s="1"/>
  <c r="N360" i="3"/>
  <c r="P360" i="3" s="1"/>
  <c r="N361" i="3"/>
  <c r="P361" i="3" s="1"/>
  <c r="N362" i="3"/>
  <c r="P362" i="3" s="1"/>
  <c r="N363" i="3"/>
  <c r="P363" i="3" s="1"/>
  <c r="N364" i="3"/>
  <c r="P364" i="3" s="1"/>
  <c r="H360" i="3"/>
  <c r="M360" i="3" s="1"/>
  <c r="H361" i="3"/>
  <c r="I361" i="3" s="1"/>
  <c r="H362" i="3"/>
  <c r="I362" i="3" s="1"/>
  <c r="H363" i="3"/>
  <c r="M363" i="3" s="1"/>
  <c r="H364" i="3"/>
  <c r="M364" i="3" s="1"/>
  <c r="L355" i="3"/>
  <c r="D5" i="8"/>
  <c r="N354" i="3"/>
  <c r="P354" i="3" s="1"/>
  <c r="N355" i="3"/>
  <c r="P355" i="3" s="1"/>
  <c r="N356" i="3"/>
  <c r="P356" i="3" s="1"/>
  <c r="N357" i="3"/>
  <c r="P357" i="3" s="1"/>
  <c r="N358" i="3"/>
  <c r="P358" i="3" s="1"/>
  <c r="N359" i="3"/>
  <c r="P359" i="3" s="1"/>
  <c r="H354" i="3"/>
  <c r="M354" i="3" s="1"/>
  <c r="H355" i="3"/>
  <c r="M355" i="3" s="1"/>
  <c r="H356" i="3"/>
  <c r="I356" i="3" s="1"/>
  <c r="H357" i="3"/>
  <c r="M357" i="3" s="1"/>
  <c r="H358" i="3"/>
  <c r="I358" i="3" s="1"/>
  <c r="H359" i="3"/>
  <c r="I359" i="3" s="1"/>
  <c r="J351" i="3"/>
  <c r="L350" i="3"/>
  <c r="L346" i="3"/>
  <c r="I417" i="3" l="1"/>
  <c r="I415" i="3"/>
  <c r="M414" i="3"/>
  <c r="I413" i="3"/>
  <c r="I411" i="3"/>
  <c r="I416" i="3"/>
  <c r="I412" i="3"/>
  <c r="I410" i="3"/>
  <c r="I409" i="3"/>
  <c r="M408" i="3"/>
  <c r="I407" i="3"/>
  <c r="I404" i="3"/>
  <c r="M406" i="3"/>
  <c r="I405" i="3"/>
  <c r="M403" i="3"/>
  <c r="I402" i="3"/>
  <c r="I400" i="3"/>
  <c r="M399" i="3"/>
  <c r="I398" i="3"/>
  <c r="M401" i="3"/>
  <c r="I397" i="3"/>
  <c r="M368" i="3"/>
  <c r="M391" i="3"/>
  <c r="M390" i="3"/>
  <c r="I396" i="3"/>
  <c r="I395" i="3"/>
  <c r="I394" i="3"/>
  <c r="M393" i="3"/>
  <c r="M392" i="3"/>
  <c r="I389" i="3"/>
  <c r="M386" i="3"/>
  <c r="I388" i="3"/>
  <c r="I387" i="3"/>
  <c r="M385" i="3"/>
  <c r="I384" i="3"/>
  <c r="I383" i="3"/>
  <c r="I382" i="3"/>
  <c r="M381" i="3"/>
  <c r="I380" i="3"/>
  <c r="I377" i="3"/>
  <c r="I376" i="3"/>
  <c r="M378" i="3"/>
  <c r="I373" i="3"/>
  <c r="I371" i="3"/>
  <c r="M375" i="3"/>
  <c r="M374" i="3"/>
  <c r="I379" i="3"/>
  <c r="M372" i="3"/>
  <c r="M365" i="3"/>
  <c r="M370" i="3"/>
  <c r="M369" i="3"/>
  <c r="I368" i="3"/>
  <c r="I367" i="3"/>
  <c r="M366" i="3"/>
  <c r="I364" i="3"/>
  <c r="I363" i="3"/>
  <c r="M362" i="3"/>
  <c r="M361" i="3"/>
  <c r="I360" i="3"/>
  <c r="I357" i="3"/>
  <c r="M359" i="3"/>
  <c r="I355" i="3"/>
  <c r="M358" i="3"/>
  <c r="M356" i="3"/>
  <c r="I354" i="3"/>
  <c r="H346" i="3"/>
  <c r="I346" i="3" s="1"/>
  <c r="N345" i="3"/>
  <c r="P345" i="3" s="1"/>
  <c r="N346" i="3"/>
  <c r="P346" i="3" s="1"/>
  <c r="N347" i="3"/>
  <c r="P347" i="3" s="1"/>
  <c r="N348" i="3"/>
  <c r="P348" i="3" s="1"/>
  <c r="N349" i="3"/>
  <c r="P349" i="3" s="1"/>
  <c r="N350" i="3"/>
  <c r="P350" i="3" s="1"/>
  <c r="N351" i="3"/>
  <c r="P351" i="3" s="1"/>
  <c r="N352" i="3"/>
  <c r="P352" i="3" s="1"/>
  <c r="N353" i="3"/>
  <c r="P353" i="3" s="1"/>
  <c r="H345" i="3"/>
  <c r="M345" i="3" s="1"/>
  <c r="H347" i="3"/>
  <c r="M347" i="3" s="1"/>
  <c r="H348" i="3"/>
  <c r="M348" i="3" s="1"/>
  <c r="H349" i="3"/>
  <c r="M349" i="3" s="1"/>
  <c r="H350" i="3"/>
  <c r="M350" i="3" s="1"/>
  <c r="H351" i="3"/>
  <c r="M351" i="3" s="1"/>
  <c r="H352" i="3"/>
  <c r="M352" i="3" s="1"/>
  <c r="H353" i="3"/>
  <c r="I353" i="3" s="1"/>
  <c r="M353" i="3" l="1"/>
  <c r="I349" i="3"/>
  <c r="I348" i="3"/>
  <c r="I352" i="3"/>
  <c r="I351" i="3"/>
  <c r="I350" i="3"/>
  <c r="I347" i="3"/>
  <c r="M346" i="3"/>
  <c r="I345" i="3"/>
  <c r="L341" i="3"/>
  <c r="N338" i="3"/>
  <c r="P338" i="3" s="1"/>
  <c r="N339" i="3"/>
  <c r="P339" i="3" s="1"/>
  <c r="N340" i="3"/>
  <c r="P340" i="3" s="1"/>
  <c r="N341" i="3"/>
  <c r="P341" i="3" s="1"/>
  <c r="N342" i="3"/>
  <c r="P342" i="3" s="1"/>
  <c r="N343" i="3"/>
  <c r="P343" i="3" s="1"/>
  <c r="N344" i="3"/>
  <c r="P344" i="3" s="1"/>
  <c r="H338" i="3"/>
  <c r="M338" i="3" s="1"/>
  <c r="H339" i="3"/>
  <c r="I339" i="3" s="1"/>
  <c r="H340" i="3"/>
  <c r="M340" i="3" s="1"/>
  <c r="H341" i="3"/>
  <c r="I341" i="3" s="1"/>
  <c r="H342" i="3"/>
  <c r="M342" i="3" s="1"/>
  <c r="H343" i="3"/>
  <c r="I343" i="3" s="1"/>
  <c r="H344" i="3"/>
  <c r="M344" i="3" s="1"/>
  <c r="D8" i="7"/>
  <c r="I344" i="3" l="1"/>
  <c r="M339" i="3"/>
  <c r="M343" i="3"/>
  <c r="I342" i="3"/>
  <c r="M341" i="3"/>
  <c r="I340" i="3"/>
  <c r="I338" i="3"/>
  <c r="D9" i="7"/>
  <c r="D10" i="7"/>
  <c r="D11" i="7"/>
  <c r="D12" i="7"/>
  <c r="D13" i="7"/>
  <c r="D14" i="7"/>
  <c r="D15" i="7"/>
  <c r="D16" i="7"/>
  <c r="D17" i="7"/>
  <c r="D7" i="7"/>
  <c r="J335" i="3"/>
  <c r="L332" i="3"/>
  <c r="N332" i="3"/>
  <c r="P332" i="3" s="1"/>
  <c r="N333" i="3"/>
  <c r="P333" i="3" s="1"/>
  <c r="N334" i="3"/>
  <c r="P334" i="3" s="1"/>
  <c r="N335" i="3"/>
  <c r="P335" i="3" s="1"/>
  <c r="N336" i="3"/>
  <c r="P336" i="3" s="1"/>
  <c r="N337" i="3"/>
  <c r="P337" i="3" s="1"/>
  <c r="H332" i="3"/>
  <c r="M332" i="3" s="1"/>
  <c r="H333" i="3"/>
  <c r="M333" i="3" s="1"/>
  <c r="H334" i="3"/>
  <c r="M334" i="3" s="1"/>
  <c r="H335" i="3"/>
  <c r="I335" i="3" s="1"/>
  <c r="H336" i="3"/>
  <c r="M336" i="3" s="1"/>
  <c r="H337" i="3"/>
  <c r="M337" i="3" s="1"/>
  <c r="L330" i="3"/>
  <c r="N330" i="3"/>
  <c r="P330" i="3" s="1"/>
  <c r="J330" i="3"/>
  <c r="L326" i="3"/>
  <c r="E512" i="6"/>
  <c r="E511" i="6"/>
  <c r="P327" i="3"/>
  <c r="N328" i="3"/>
  <c r="P328" i="3" s="1"/>
  <c r="N329" i="3"/>
  <c r="P329" i="3" s="1"/>
  <c r="N331" i="3"/>
  <c r="H327" i="3"/>
  <c r="I327" i="3" s="1"/>
  <c r="H328" i="3"/>
  <c r="I328" i="3" s="1"/>
  <c r="H329" i="3"/>
  <c r="M329" i="3" s="1"/>
  <c r="H330" i="3"/>
  <c r="I330" i="3" s="1"/>
  <c r="H331" i="3"/>
  <c r="I331" i="3" s="1"/>
  <c r="H319" i="3"/>
  <c r="M319" i="3" s="1"/>
  <c r="N321" i="3"/>
  <c r="P321" i="3" s="1"/>
  <c r="N322" i="3"/>
  <c r="P322" i="3" s="1"/>
  <c r="N323" i="3"/>
  <c r="P323" i="3" s="1"/>
  <c r="N324" i="3"/>
  <c r="P324" i="3" s="1"/>
  <c r="N325" i="3"/>
  <c r="P325" i="3" s="1"/>
  <c r="N326" i="3"/>
  <c r="P326" i="3" s="1"/>
  <c r="H321" i="3"/>
  <c r="M321" i="3" s="1"/>
  <c r="H322" i="3"/>
  <c r="M322" i="3" s="1"/>
  <c r="H323" i="3"/>
  <c r="M323" i="3" s="1"/>
  <c r="H324" i="3"/>
  <c r="I324" i="3" s="1"/>
  <c r="H325" i="3"/>
  <c r="I325" i="3" s="1"/>
  <c r="H326" i="3"/>
  <c r="I326" i="3" s="1"/>
  <c r="L317" i="3"/>
  <c r="N317" i="3"/>
  <c r="P317" i="3" s="1"/>
  <c r="N318" i="3"/>
  <c r="P318" i="3" s="1"/>
  <c r="N319" i="3"/>
  <c r="P319" i="3" s="1"/>
  <c r="N320" i="3"/>
  <c r="P320" i="3" s="1"/>
  <c r="H317" i="3"/>
  <c r="I317" i="3" s="1"/>
  <c r="H318" i="3"/>
  <c r="I318" i="3" s="1"/>
  <c r="H320" i="3"/>
  <c r="I320" i="3" s="1"/>
  <c r="L311" i="3"/>
  <c r="N310" i="3"/>
  <c r="P310" i="3" s="1"/>
  <c r="N311" i="3"/>
  <c r="P311" i="3" s="1"/>
  <c r="N312" i="3"/>
  <c r="P312" i="3" s="1"/>
  <c r="N313" i="3"/>
  <c r="P313" i="3" s="1"/>
  <c r="N314" i="3"/>
  <c r="P314" i="3" s="1"/>
  <c r="N315" i="3"/>
  <c r="P315" i="3" s="1"/>
  <c r="N316" i="3"/>
  <c r="P316" i="3" s="1"/>
  <c r="H310" i="3"/>
  <c r="M310" i="3" s="1"/>
  <c r="H311" i="3"/>
  <c r="M311" i="3" s="1"/>
  <c r="H312" i="3"/>
  <c r="M312" i="3" s="1"/>
  <c r="H313" i="3"/>
  <c r="M313" i="3" s="1"/>
  <c r="H314" i="3"/>
  <c r="M314" i="3" s="1"/>
  <c r="H315" i="3"/>
  <c r="M315" i="3" s="1"/>
  <c r="H316" i="3"/>
  <c r="M316" i="3" s="1"/>
  <c r="H304" i="3"/>
  <c r="H305" i="3"/>
  <c r="H306" i="3"/>
  <c r="M306" i="3" s="1"/>
  <c r="H307" i="3"/>
  <c r="M307" i="3" s="1"/>
  <c r="H308" i="3"/>
  <c r="M308" i="3" s="1"/>
  <c r="H309" i="3"/>
  <c r="M309" i="3" s="1"/>
  <c r="N306" i="3"/>
  <c r="P306" i="3" s="1"/>
  <c r="N307" i="3"/>
  <c r="P307" i="3" s="1"/>
  <c r="N308" i="3"/>
  <c r="P308" i="3" s="1"/>
  <c r="N309" i="3"/>
  <c r="P309" i="3" s="1"/>
  <c r="D18" i="7" l="1"/>
  <c r="I333" i="3"/>
  <c r="I337" i="3"/>
  <c r="I334" i="3"/>
  <c r="M335" i="3"/>
  <c r="I336" i="3"/>
  <c r="I332" i="3"/>
  <c r="M331" i="3"/>
  <c r="M330" i="3"/>
  <c r="I329" i="3"/>
  <c r="M328" i="3"/>
  <c r="M327" i="3"/>
  <c r="M326" i="3"/>
  <c r="M325" i="3"/>
  <c r="M324" i="3"/>
  <c r="I323" i="3"/>
  <c r="I322" i="3"/>
  <c r="I321" i="3"/>
  <c r="M320" i="3"/>
  <c r="M318" i="3"/>
  <c r="I319" i="3"/>
  <c r="M317" i="3"/>
  <c r="I314" i="3"/>
  <c r="I316" i="3"/>
  <c r="I315" i="3"/>
  <c r="I313" i="3"/>
  <c r="I312" i="3"/>
  <c r="I311" i="3"/>
  <c r="I310" i="3"/>
  <c r="I309" i="3"/>
  <c r="I308" i="3"/>
  <c r="I307" i="3"/>
  <c r="I306" i="3"/>
  <c r="N286" i="3"/>
  <c r="E502" i="6"/>
  <c r="L300" i="3"/>
  <c r="G10" i="7" l="1"/>
  <c r="G9" i="7"/>
  <c r="N297" i="3"/>
  <c r="P297" i="3" s="1"/>
  <c r="N298" i="3"/>
  <c r="P298" i="3" s="1"/>
  <c r="N299" i="3"/>
  <c r="P299" i="3" s="1"/>
  <c r="N300" i="3"/>
  <c r="P300" i="3" s="1"/>
  <c r="N301" i="3"/>
  <c r="P301" i="3" s="1"/>
  <c r="N302" i="3"/>
  <c r="P302" i="3" s="1"/>
  <c r="N303" i="3"/>
  <c r="P303" i="3" s="1"/>
  <c r="N304" i="3"/>
  <c r="P304" i="3" s="1"/>
  <c r="N305" i="3"/>
  <c r="P305" i="3" s="1"/>
  <c r="I304" i="3"/>
  <c r="H297" i="3"/>
  <c r="I297" i="3" s="1"/>
  <c r="H298" i="3"/>
  <c r="I298" i="3" s="1"/>
  <c r="H299" i="3"/>
  <c r="M299" i="3" s="1"/>
  <c r="H300" i="3"/>
  <c r="I300" i="3" s="1"/>
  <c r="H301" i="3"/>
  <c r="I301" i="3" s="1"/>
  <c r="H302" i="3"/>
  <c r="M302" i="3" s="1"/>
  <c r="H303" i="3"/>
  <c r="M303" i="3" s="1"/>
  <c r="M304" i="3"/>
  <c r="I305" i="3"/>
  <c r="J293" i="3"/>
  <c r="E81" i="10"/>
  <c r="E481" i="6"/>
  <c r="E460" i="6"/>
  <c r="L292" i="3"/>
  <c r="L291" i="3"/>
  <c r="N291" i="3"/>
  <c r="P291" i="3" s="1"/>
  <c r="N292" i="3"/>
  <c r="P292" i="3" s="1"/>
  <c r="N293" i="3"/>
  <c r="P293" i="3" s="1"/>
  <c r="N294" i="3"/>
  <c r="P294" i="3" s="1"/>
  <c r="N295" i="3"/>
  <c r="P295" i="3" s="1"/>
  <c r="N296" i="3"/>
  <c r="P296" i="3" s="1"/>
  <c r="H291" i="3"/>
  <c r="M291" i="3" s="1"/>
  <c r="H292" i="3"/>
  <c r="M292" i="3" s="1"/>
  <c r="H293" i="3"/>
  <c r="I293" i="3" s="1"/>
  <c r="H294" i="3"/>
  <c r="M294" i="3" s="1"/>
  <c r="H295" i="3"/>
  <c r="I295" i="3" s="1"/>
  <c r="H296" i="3"/>
  <c r="M296" i="3" s="1"/>
  <c r="H286" i="3"/>
  <c r="I286" i="3" s="1"/>
  <c r="N290" i="3"/>
  <c r="P290" i="3" s="1"/>
  <c r="N289" i="3"/>
  <c r="P289" i="3" s="1"/>
  <c r="N288" i="3"/>
  <c r="P288" i="3" s="1"/>
  <c r="N287" i="3"/>
  <c r="P287" i="3" s="1"/>
  <c r="P286" i="3"/>
  <c r="N285" i="3"/>
  <c r="P285" i="3" s="1"/>
  <c r="H290" i="3"/>
  <c r="M290" i="3" s="1"/>
  <c r="H289" i="3"/>
  <c r="M289" i="3" s="1"/>
  <c r="H288" i="3"/>
  <c r="M288" i="3" s="1"/>
  <c r="H287" i="3"/>
  <c r="M287" i="3" s="1"/>
  <c r="H285" i="3"/>
  <c r="M285" i="3" s="1"/>
  <c r="L282" i="3"/>
  <c r="L279" i="3"/>
  <c r="L280" i="3"/>
  <c r="L276" i="3"/>
  <c r="E491" i="6"/>
  <c r="E438" i="6"/>
  <c r="E424" i="6"/>
  <c r="N279" i="3"/>
  <c r="P279" i="3" s="1"/>
  <c r="N280" i="3"/>
  <c r="P280" i="3" s="1"/>
  <c r="N281" i="3"/>
  <c r="P281" i="3" s="1"/>
  <c r="N282" i="3"/>
  <c r="P282" i="3" s="1"/>
  <c r="N283" i="3"/>
  <c r="P283" i="3" s="1"/>
  <c r="N284" i="3"/>
  <c r="P284" i="3" s="1"/>
  <c r="H279" i="3"/>
  <c r="M279" i="3" s="1"/>
  <c r="H280" i="3"/>
  <c r="M280" i="3" s="1"/>
  <c r="H281" i="3"/>
  <c r="M281" i="3" s="1"/>
  <c r="H282" i="3"/>
  <c r="M282" i="3" s="1"/>
  <c r="H283" i="3"/>
  <c r="M283" i="3" s="1"/>
  <c r="H284" i="3"/>
  <c r="M284" i="3" s="1"/>
  <c r="N275" i="3"/>
  <c r="P275" i="3" s="1"/>
  <c r="N276" i="3"/>
  <c r="P276" i="3" s="1"/>
  <c r="N277" i="3"/>
  <c r="P277" i="3" s="1"/>
  <c r="N278" i="3"/>
  <c r="P278" i="3" s="1"/>
  <c r="H275" i="3"/>
  <c r="I275" i="3" s="1"/>
  <c r="L274" i="3"/>
  <c r="N274" i="3"/>
  <c r="P274" i="3" s="1"/>
  <c r="N273" i="3"/>
  <c r="P273" i="3" s="1"/>
  <c r="H273" i="3"/>
  <c r="M273" i="3" s="1"/>
  <c r="H274" i="3"/>
  <c r="M274" i="3" s="1"/>
  <c r="H276" i="3"/>
  <c r="M276" i="3" s="1"/>
  <c r="H277" i="3"/>
  <c r="I277" i="3" s="1"/>
  <c r="H278" i="3"/>
  <c r="M278" i="3" s="1"/>
  <c r="L271" i="3"/>
  <c r="D263" i="3"/>
  <c r="N263" i="3" s="1"/>
  <c r="P263" i="3" s="1"/>
  <c r="L267" i="3"/>
  <c r="N265" i="3"/>
  <c r="P265" i="3" s="1"/>
  <c r="N266" i="3"/>
  <c r="P266" i="3" s="1"/>
  <c r="N267" i="3"/>
  <c r="P267" i="3" s="1"/>
  <c r="N268" i="3"/>
  <c r="P268" i="3" s="1"/>
  <c r="N269" i="3"/>
  <c r="P269" i="3" s="1"/>
  <c r="N270" i="3"/>
  <c r="P270" i="3" s="1"/>
  <c r="N271" i="3"/>
  <c r="P271" i="3" s="1"/>
  <c r="N272" i="3"/>
  <c r="P272" i="3" s="1"/>
  <c r="H265" i="3"/>
  <c r="I265" i="3" s="1"/>
  <c r="H266" i="3"/>
  <c r="I266" i="3" s="1"/>
  <c r="H267" i="3"/>
  <c r="I267" i="3" s="1"/>
  <c r="H268" i="3"/>
  <c r="M268" i="3" s="1"/>
  <c r="H269" i="3"/>
  <c r="I269" i="3" s="1"/>
  <c r="H270" i="3"/>
  <c r="M270" i="3" s="1"/>
  <c r="H271" i="3"/>
  <c r="M271" i="3" s="1"/>
  <c r="H272" i="3"/>
  <c r="M272" i="3" s="1"/>
  <c r="L261" i="3"/>
  <c r="N260" i="3"/>
  <c r="P260" i="3" s="1"/>
  <c r="L258" i="3"/>
  <c r="E458" i="6"/>
  <c r="E449" i="6"/>
  <c r="E440" i="6"/>
  <c r="E437" i="6"/>
  <c r="E425" i="6"/>
  <c r="E423" i="6"/>
  <c r="E422" i="6"/>
  <c r="J258" i="3"/>
  <c r="C5" i="9"/>
  <c r="C9" i="9"/>
  <c r="L254" i="3"/>
  <c r="N255" i="3"/>
  <c r="P255" i="3" s="1"/>
  <c r="N256" i="3"/>
  <c r="P256" i="3" s="1"/>
  <c r="N257" i="3"/>
  <c r="P257" i="3" s="1"/>
  <c r="N258" i="3"/>
  <c r="P258" i="3" s="1"/>
  <c r="N259" i="3"/>
  <c r="P259" i="3" s="1"/>
  <c r="N261" i="3"/>
  <c r="P261" i="3" s="1"/>
  <c r="N262" i="3"/>
  <c r="P262" i="3" s="1"/>
  <c r="N264" i="3"/>
  <c r="P264" i="3" s="1"/>
  <c r="H255" i="3"/>
  <c r="M255" i="3" s="1"/>
  <c r="H256" i="3"/>
  <c r="M256" i="3" s="1"/>
  <c r="H257" i="3"/>
  <c r="M257" i="3" s="1"/>
  <c r="H258" i="3"/>
  <c r="I258" i="3" s="1"/>
  <c r="H259" i="3"/>
  <c r="I259" i="3" s="1"/>
  <c r="H260" i="3"/>
  <c r="M260" i="3" s="1"/>
  <c r="H261" i="3"/>
  <c r="M261" i="3" s="1"/>
  <c r="H262" i="3"/>
  <c r="I262" i="3" s="1"/>
  <c r="H263" i="3"/>
  <c r="M263" i="3" s="1"/>
  <c r="H264" i="3"/>
  <c r="M264" i="3" s="1"/>
  <c r="L253" i="3"/>
  <c r="L252" i="3"/>
  <c r="L248" i="3"/>
  <c r="H250" i="3"/>
  <c r="H247" i="3"/>
  <c r="M247" i="3" s="1"/>
  <c r="L245" i="3"/>
  <c r="L246" i="3"/>
  <c r="N247" i="3"/>
  <c r="P247" i="3" s="1"/>
  <c r="N248" i="3"/>
  <c r="P248" i="3" s="1"/>
  <c r="N249" i="3"/>
  <c r="P249" i="3" s="1"/>
  <c r="N250" i="3"/>
  <c r="P250" i="3" s="1"/>
  <c r="N251" i="3"/>
  <c r="P251" i="3" s="1"/>
  <c r="N252" i="3"/>
  <c r="P252" i="3" s="1"/>
  <c r="N253" i="3"/>
  <c r="P253" i="3" s="1"/>
  <c r="N254" i="3"/>
  <c r="P254" i="3" s="1"/>
  <c r="H248" i="3"/>
  <c r="I248" i="3" s="1"/>
  <c r="H251" i="3"/>
  <c r="M251" i="3" s="1"/>
  <c r="H252" i="3"/>
  <c r="I252" i="3" s="1"/>
  <c r="H253" i="3"/>
  <c r="M253" i="3" s="1"/>
  <c r="H254" i="3"/>
  <c r="M254" i="3" s="1"/>
  <c r="L239" i="3"/>
  <c r="J238" i="3"/>
  <c r="N239" i="3"/>
  <c r="P239" i="3" s="1"/>
  <c r="N240" i="3"/>
  <c r="P240" i="3" s="1"/>
  <c r="N241" i="3"/>
  <c r="P241" i="3" s="1"/>
  <c r="N242" i="3"/>
  <c r="P242" i="3" s="1"/>
  <c r="N243" i="3"/>
  <c r="P243" i="3" s="1"/>
  <c r="N244" i="3"/>
  <c r="P244" i="3" s="1"/>
  <c r="N245" i="3"/>
  <c r="P245" i="3" s="1"/>
  <c r="N246" i="3"/>
  <c r="P246" i="3" s="1"/>
  <c r="H239" i="3"/>
  <c r="I239" i="3" s="1"/>
  <c r="H240" i="3"/>
  <c r="M240" i="3" s="1"/>
  <c r="H241" i="3"/>
  <c r="M241" i="3" s="1"/>
  <c r="H242" i="3"/>
  <c r="I242" i="3" s="1"/>
  <c r="H243" i="3"/>
  <c r="M243" i="3" s="1"/>
  <c r="H244" i="3"/>
  <c r="I244" i="3" s="1"/>
  <c r="H245" i="3"/>
  <c r="M245" i="3" s="1"/>
  <c r="H246" i="3"/>
  <c r="I246" i="3" s="1"/>
  <c r="L233" i="3"/>
  <c r="N230" i="3"/>
  <c r="P230" i="3" s="1"/>
  <c r="N231" i="3"/>
  <c r="P231" i="3" s="1"/>
  <c r="N232" i="3"/>
  <c r="P232" i="3" s="1"/>
  <c r="N233" i="3"/>
  <c r="P233" i="3" s="1"/>
  <c r="N234" i="3"/>
  <c r="P234" i="3" s="1"/>
  <c r="N235" i="3"/>
  <c r="P235" i="3" s="1"/>
  <c r="N236" i="3"/>
  <c r="P236" i="3" s="1"/>
  <c r="N237" i="3"/>
  <c r="P237" i="3" s="1"/>
  <c r="N238" i="3"/>
  <c r="P238" i="3" s="1"/>
  <c r="H230" i="3"/>
  <c r="M230" i="3" s="1"/>
  <c r="H231" i="3"/>
  <c r="M231" i="3" s="1"/>
  <c r="H232" i="3"/>
  <c r="M232" i="3" s="1"/>
  <c r="H233" i="3"/>
  <c r="M233" i="3" s="1"/>
  <c r="H234" i="3"/>
  <c r="M234" i="3" s="1"/>
  <c r="H235" i="3"/>
  <c r="I235" i="3" s="1"/>
  <c r="H236" i="3"/>
  <c r="M236" i="3" s="1"/>
  <c r="H237" i="3"/>
  <c r="M237" i="3" s="1"/>
  <c r="H238" i="3"/>
  <c r="I238" i="3" s="1"/>
  <c r="M2" i="3"/>
  <c r="J227" i="3"/>
  <c r="L227" i="3"/>
  <c r="N226" i="3"/>
  <c r="P226" i="3" s="1"/>
  <c r="H226" i="3"/>
  <c r="M226" i="3" s="1"/>
  <c r="J224" i="3"/>
  <c r="L224" i="3"/>
  <c r="D223" i="3"/>
  <c r="N223" i="3" s="1"/>
  <c r="P223" i="3" s="1"/>
  <c r="L222" i="3"/>
  <c r="N227" i="3"/>
  <c r="P227" i="3" s="1"/>
  <c r="N225" i="3"/>
  <c r="P225" i="3" s="1"/>
  <c r="N224" i="3"/>
  <c r="P224" i="3" s="1"/>
  <c r="H223" i="3"/>
  <c r="H224" i="3"/>
  <c r="H225" i="3"/>
  <c r="M225" i="3" s="1"/>
  <c r="H227" i="3"/>
  <c r="I227" i="3" s="1"/>
  <c r="H228" i="3"/>
  <c r="I228" i="3" s="1"/>
  <c r="H229" i="3"/>
  <c r="M229" i="3" s="1"/>
  <c r="L218" i="3"/>
  <c r="H217" i="3"/>
  <c r="M217" i="3" s="1"/>
  <c r="L216" i="3"/>
  <c r="H218" i="3"/>
  <c r="M218" i="3" s="1"/>
  <c r="N218" i="3"/>
  <c r="P218" i="3" s="1"/>
  <c r="H219" i="3"/>
  <c r="I219" i="3" s="1"/>
  <c r="N219" i="3"/>
  <c r="H220" i="3"/>
  <c r="I220" i="3" s="1"/>
  <c r="N220" i="3"/>
  <c r="P220" i="3" s="1"/>
  <c r="D212" i="3"/>
  <c r="N212" i="3" s="1"/>
  <c r="P212" i="3" s="1"/>
  <c r="G212" i="3"/>
  <c r="F212" i="3"/>
  <c r="N216" i="3"/>
  <c r="P216" i="3" s="1"/>
  <c r="N217" i="3"/>
  <c r="P217" i="3" s="1"/>
  <c r="N221" i="3"/>
  <c r="P221" i="3" s="1"/>
  <c r="N222" i="3"/>
  <c r="P222" i="3" s="1"/>
  <c r="N228" i="3"/>
  <c r="P228" i="3" s="1"/>
  <c r="N229" i="3"/>
  <c r="P229" i="3" s="1"/>
  <c r="N215" i="3"/>
  <c r="P215" i="3" s="1"/>
  <c r="H215" i="3"/>
  <c r="M215" i="3" s="1"/>
  <c r="H216" i="3"/>
  <c r="M216" i="3" s="1"/>
  <c r="H221" i="3"/>
  <c r="M221" i="3" s="1"/>
  <c r="H222" i="3"/>
  <c r="I222" i="3" s="1"/>
  <c r="E380" i="6"/>
  <c r="L209" i="3"/>
  <c r="N214" i="3"/>
  <c r="P214" i="3" s="1"/>
  <c r="P213" i="3"/>
  <c r="N211" i="3"/>
  <c r="P211" i="3" s="1"/>
  <c r="N210" i="3"/>
  <c r="P210" i="3" s="1"/>
  <c r="N209" i="3"/>
  <c r="P209" i="3" s="1"/>
  <c r="H214" i="3"/>
  <c r="I214" i="3" s="1"/>
  <c r="H213" i="3"/>
  <c r="M213" i="3" s="1"/>
  <c r="H211" i="3"/>
  <c r="I211" i="3" s="1"/>
  <c r="H210" i="3"/>
  <c r="I210" i="3" s="1"/>
  <c r="H209" i="3"/>
  <c r="M209" i="3" s="1"/>
  <c r="L207" i="3"/>
  <c r="L200" i="3"/>
  <c r="N201" i="3"/>
  <c r="P201" i="3" s="1"/>
  <c r="N202" i="3"/>
  <c r="P202" i="3" s="1"/>
  <c r="N203" i="3"/>
  <c r="P203" i="3" s="1"/>
  <c r="N204" i="3"/>
  <c r="P204" i="3" s="1"/>
  <c r="N205" i="3"/>
  <c r="P205" i="3" s="1"/>
  <c r="N206" i="3"/>
  <c r="P206" i="3" s="1"/>
  <c r="N207" i="3"/>
  <c r="P207" i="3" s="1"/>
  <c r="N208" i="3"/>
  <c r="P208" i="3" s="1"/>
  <c r="H201" i="3"/>
  <c r="M201" i="3" s="1"/>
  <c r="H202" i="3"/>
  <c r="I202" i="3" s="1"/>
  <c r="H203" i="3"/>
  <c r="I203" i="3" s="1"/>
  <c r="H204" i="3"/>
  <c r="I204" i="3" s="1"/>
  <c r="H205" i="3"/>
  <c r="I205" i="3" s="1"/>
  <c r="H206" i="3"/>
  <c r="I206" i="3" s="1"/>
  <c r="H207" i="3"/>
  <c r="I207" i="3" s="1"/>
  <c r="H208" i="3"/>
  <c r="M208" i="3" s="1"/>
  <c r="L197" i="3"/>
  <c r="N195" i="3"/>
  <c r="P195" i="3" s="1"/>
  <c r="N196" i="3"/>
  <c r="P196" i="3" s="1"/>
  <c r="N197" i="3"/>
  <c r="P197" i="3" s="1"/>
  <c r="N198" i="3"/>
  <c r="P198" i="3" s="1"/>
  <c r="N199" i="3"/>
  <c r="P199" i="3" s="1"/>
  <c r="N200" i="3"/>
  <c r="H195" i="3"/>
  <c r="M195" i="3" s="1"/>
  <c r="H196" i="3"/>
  <c r="M196" i="3" s="1"/>
  <c r="H197" i="3"/>
  <c r="M197" i="3" s="1"/>
  <c r="H198" i="3"/>
  <c r="M198" i="3" s="1"/>
  <c r="H199" i="3"/>
  <c r="I199" i="3" s="1"/>
  <c r="H200" i="3"/>
  <c r="I200" i="3" s="1"/>
  <c r="L193" i="3"/>
  <c r="J189" i="3"/>
  <c r="J184" i="3"/>
  <c r="L184" i="3"/>
  <c r="F184" i="3"/>
  <c r="H184" i="3" s="1"/>
  <c r="N185" i="3"/>
  <c r="P185" i="3" s="1"/>
  <c r="N186" i="3"/>
  <c r="P186" i="3" s="1"/>
  <c r="N187" i="3"/>
  <c r="P187" i="3" s="1"/>
  <c r="N188" i="3"/>
  <c r="P188" i="3" s="1"/>
  <c r="N189" i="3"/>
  <c r="P189" i="3" s="1"/>
  <c r="N190" i="3"/>
  <c r="P190" i="3" s="1"/>
  <c r="N191" i="3"/>
  <c r="P191" i="3" s="1"/>
  <c r="N192" i="3"/>
  <c r="P192" i="3" s="1"/>
  <c r="N193" i="3"/>
  <c r="P193" i="3" s="1"/>
  <c r="N194" i="3"/>
  <c r="P194" i="3" s="1"/>
  <c r="H185" i="3"/>
  <c r="M185" i="3" s="1"/>
  <c r="H186" i="3"/>
  <c r="I186" i="3" s="1"/>
  <c r="H187" i="3"/>
  <c r="M187" i="3" s="1"/>
  <c r="H188" i="3"/>
  <c r="M188" i="3" s="1"/>
  <c r="H189" i="3"/>
  <c r="I189" i="3" s="1"/>
  <c r="H190" i="3"/>
  <c r="M190" i="3" s="1"/>
  <c r="H191" i="3"/>
  <c r="M191" i="3" s="1"/>
  <c r="H192" i="3"/>
  <c r="M192" i="3" s="1"/>
  <c r="H193" i="3"/>
  <c r="M193" i="3" s="1"/>
  <c r="H194" i="3"/>
  <c r="I194" i="3" s="1"/>
  <c r="N184" i="3"/>
  <c r="P184" i="3" s="1"/>
  <c r="M305" i="3" l="1"/>
  <c r="M301" i="3"/>
  <c r="I303" i="3"/>
  <c r="I302" i="3"/>
  <c r="M300" i="3"/>
  <c r="I299" i="3"/>
  <c r="M298" i="3"/>
  <c r="M297" i="3"/>
  <c r="M295" i="3"/>
  <c r="I296" i="3"/>
  <c r="I294" i="3"/>
  <c r="I291" i="3"/>
  <c r="M293" i="3"/>
  <c r="I292" i="3"/>
  <c r="I288" i="3"/>
  <c r="I285" i="3"/>
  <c r="I290" i="3"/>
  <c r="I287" i="3"/>
  <c r="I289" i="3"/>
  <c r="M286" i="3"/>
  <c r="I282" i="3"/>
  <c r="I283" i="3"/>
  <c r="I279" i="3"/>
  <c r="I281" i="3"/>
  <c r="I284" i="3"/>
  <c r="I280" i="3"/>
  <c r="I278" i="3"/>
  <c r="I274" i="3"/>
  <c r="M275" i="3"/>
  <c r="M277" i="3"/>
  <c r="I276" i="3"/>
  <c r="I273" i="3"/>
  <c r="M266" i="3"/>
  <c r="I271" i="3"/>
  <c r="I272" i="3"/>
  <c r="M269" i="3"/>
  <c r="I270" i="3"/>
  <c r="I268" i="3"/>
  <c r="M267" i="3"/>
  <c r="M265" i="3"/>
  <c r="I260" i="3"/>
  <c r="I257" i="3"/>
  <c r="I261" i="3"/>
  <c r="M259" i="3"/>
  <c r="I263" i="3"/>
  <c r="I255" i="3"/>
  <c r="I264" i="3"/>
  <c r="I256" i="3"/>
  <c r="M262" i="3"/>
  <c r="M258" i="3"/>
  <c r="M248" i="3"/>
  <c r="I254" i="3"/>
  <c r="I253" i="3"/>
  <c r="M252" i="3"/>
  <c r="I251" i="3"/>
  <c r="M250" i="3"/>
  <c r="I250" i="3"/>
  <c r="H249" i="3"/>
  <c r="I247" i="3"/>
  <c r="I241" i="3"/>
  <c r="M238" i="3"/>
  <c r="M246" i="3"/>
  <c r="M244" i="3"/>
  <c r="I245" i="3"/>
  <c r="I243" i="3"/>
  <c r="M242" i="3"/>
  <c r="I240" i="3"/>
  <c r="M239" i="3"/>
  <c r="I232" i="3"/>
  <c r="I237" i="3"/>
  <c r="I236" i="3"/>
  <c r="I233" i="3"/>
  <c r="M235" i="3"/>
  <c r="I231" i="3"/>
  <c r="I234" i="3"/>
  <c r="I230" i="3"/>
  <c r="I226" i="3"/>
  <c r="M224" i="3"/>
  <c r="I224" i="3"/>
  <c r="I223" i="3"/>
  <c r="I229" i="3"/>
  <c r="M227" i="3"/>
  <c r="I225" i="3"/>
  <c r="M223" i="3"/>
  <c r="M228" i="3"/>
  <c r="M220" i="3"/>
  <c r="I218" i="3"/>
  <c r="P219" i="3"/>
  <c r="I217" i="3"/>
  <c r="M222" i="3"/>
  <c r="I221" i="3"/>
  <c r="M219" i="3"/>
  <c r="I216" i="3"/>
  <c r="I215" i="3"/>
  <c r="H212" i="3"/>
  <c r="M212" i="3" s="1"/>
  <c r="M214" i="3"/>
  <c r="I209" i="3"/>
  <c r="I213" i="3"/>
  <c r="M210" i="3"/>
  <c r="M211" i="3"/>
  <c r="I208" i="3"/>
  <c r="M207" i="3"/>
  <c r="M206" i="3"/>
  <c r="M205" i="3"/>
  <c r="M204" i="3"/>
  <c r="M203" i="3"/>
  <c r="M202" i="3"/>
  <c r="I201" i="3"/>
  <c r="M199" i="3"/>
  <c r="I195" i="3"/>
  <c r="I198" i="3"/>
  <c r="I197" i="3"/>
  <c r="I196" i="3"/>
  <c r="I191" i="3"/>
  <c r="I190" i="3"/>
  <c r="I188" i="3"/>
  <c r="I192" i="3"/>
  <c r="M194" i="3"/>
  <c r="I193" i="3"/>
  <c r="M189" i="3"/>
  <c r="I187" i="3"/>
  <c r="M186" i="3"/>
  <c r="I185" i="3"/>
  <c r="M184" i="3"/>
  <c r="I184" i="3"/>
  <c r="L177" i="3"/>
  <c r="J177" i="3"/>
  <c r="E260" i="6"/>
  <c r="H176" i="3"/>
  <c r="M176" i="3" s="1"/>
  <c r="H177" i="3"/>
  <c r="H178" i="3"/>
  <c r="M178" i="3" s="1"/>
  <c r="H179" i="3"/>
  <c r="I179" i="3" s="1"/>
  <c r="H180" i="3"/>
  <c r="M180" i="3" s="1"/>
  <c r="H181" i="3"/>
  <c r="I181" i="3" s="1"/>
  <c r="H182" i="3"/>
  <c r="M182" i="3" s="1"/>
  <c r="H183" i="3"/>
  <c r="M183" i="3" s="1"/>
  <c r="N175" i="3"/>
  <c r="P175" i="3" s="1"/>
  <c r="N176" i="3"/>
  <c r="P176" i="3" s="1"/>
  <c r="N177" i="3"/>
  <c r="P177" i="3" s="1"/>
  <c r="N178" i="3"/>
  <c r="P178" i="3" s="1"/>
  <c r="N179" i="3"/>
  <c r="P179" i="3" s="1"/>
  <c r="N180" i="3"/>
  <c r="P180" i="3" s="1"/>
  <c r="N181" i="3"/>
  <c r="P181" i="3" s="1"/>
  <c r="N182" i="3"/>
  <c r="P182" i="3" s="1"/>
  <c r="N183" i="3"/>
  <c r="P183" i="3" s="1"/>
  <c r="P200" i="3"/>
  <c r="N174" i="3"/>
  <c r="P174" i="3" s="1"/>
  <c r="H175" i="3"/>
  <c r="M175" i="3" s="1"/>
  <c r="L174" i="3"/>
  <c r="N173" i="3"/>
  <c r="P173" i="3" s="1"/>
  <c r="H173" i="3"/>
  <c r="M173" i="3" s="1"/>
  <c r="H174" i="3"/>
  <c r="M174" i="3" s="1"/>
  <c r="L172" i="3"/>
  <c r="N172" i="3"/>
  <c r="P172" i="3" s="1"/>
  <c r="H172" i="3"/>
  <c r="M172" i="3" s="1"/>
  <c r="L170" i="3"/>
  <c r="L168" i="3"/>
  <c r="N170" i="3"/>
  <c r="P170" i="3" s="1"/>
  <c r="N169" i="3"/>
  <c r="P169" i="3" s="1"/>
  <c r="N168" i="3"/>
  <c r="P168" i="3" s="1"/>
  <c r="N167" i="3"/>
  <c r="P167" i="3" s="1"/>
  <c r="H170" i="3"/>
  <c r="M170" i="3" s="1"/>
  <c r="H169" i="3"/>
  <c r="I169" i="3" s="1"/>
  <c r="H168" i="3"/>
  <c r="M168" i="3" s="1"/>
  <c r="H167" i="3"/>
  <c r="I167" i="3" s="1"/>
  <c r="L164" i="3"/>
  <c r="N161" i="3"/>
  <c r="P161" i="3" s="1"/>
  <c r="N162" i="3"/>
  <c r="P162" i="3" s="1"/>
  <c r="N163" i="3"/>
  <c r="P163" i="3" s="1"/>
  <c r="N164" i="3"/>
  <c r="P164" i="3" s="1"/>
  <c r="N165" i="3"/>
  <c r="P165" i="3" s="1"/>
  <c r="N166" i="3"/>
  <c r="P166" i="3" s="1"/>
  <c r="N171" i="3"/>
  <c r="P171" i="3" s="1"/>
  <c r="N159" i="3"/>
  <c r="P159" i="3" s="1"/>
  <c r="N160" i="3"/>
  <c r="P160" i="3" s="1"/>
  <c r="D149" i="3"/>
  <c r="N149" i="3" s="1"/>
  <c r="P149" i="3" s="1"/>
  <c r="F149" i="3"/>
  <c r="H149" i="3" s="1"/>
  <c r="M149" i="3" s="1"/>
  <c r="D158" i="3"/>
  <c r="N158" i="3" s="1"/>
  <c r="P158" i="3" s="1"/>
  <c r="H158" i="3"/>
  <c r="M158" i="3" s="1"/>
  <c r="H159" i="3"/>
  <c r="I159" i="3" s="1"/>
  <c r="H160" i="3"/>
  <c r="I160" i="3" s="1"/>
  <c r="H161" i="3"/>
  <c r="M161" i="3" s="1"/>
  <c r="H162" i="3"/>
  <c r="M162" i="3" s="1"/>
  <c r="H163" i="3"/>
  <c r="I163" i="3" s="1"/>
  <c r="H164" i="3"/>
  <c r="I164" i="3" s="1"/>
  <c r="H165" i="3"/>
  <c r="M165" i="3" s="1"/>
  <c r="H166" i="3"/>
  <c r="I166" i="3" s="1"/>
  <c r="H171" i="3"/>
  <c r="M171" i="3" s="1"/>
  <c r="L152" i="3"/>
  <c r="J152" i="3"/>
  <c r="H150" i="3"/>
  <c r="I150" i="3" s="1"/>
  <c r="H151" i="3"/>
  <c r="M151" i="3" s="1"/>
  <c r="H152" i="3"/>
  <c r="I152" i="3" s="1"/>
  <c r="H153" i="3"/>
  <c r="M153" i="3" s="1"/>
  <c r="H154" i="3"/>
  <c r="I154" i="3" s="1"/>
  <c r="H155" i="3"/>
  <c r="M155" i="3" s="1"/>
  <c r="H156" i="3"/>
  <c r="I156" i="3" s="1"/>
  <c r="H157" i="3"/>
  <c r="I157" i="3" s="1"/>
  <c r="N150" i="3"/>
  <c r="P150" i="3" s="1"/>
  <c r="N151" i="3"/>
  <c r="P151" i="3" s="1"/>
  <c r="N152" i="3"/>
  <c r="P152" i="3" s="1"/>
  <c r="N153" i="3"/>
  <c r="P153" i="3" s="1"/>
  <c r="N154" i="3"/>
  <c r="P154" i="3" s="1"/>
  <c r="N155" i="3"/>
  <c r="P155" i="3" s="1"/>
  <c r="N156" i="3"/>
  <c r="P156" i="3" s="1"/>
  <c r="N157" i="3"/>
  <c r="P157" i="3" s="1"/>
  <c r="H148" i="3"/>
  <c r="M148" i="3" s="1"/>
  <c r="N148" i="3"/>
  <c r="P148" i="3" s="1"/>
  <c r="N147" i="3"/>
  <c r="P147" i="3" s="1"/>
  <c r="N146" i="3"/>
  <c r="P146" i="3" s="1"/>
  <c r="N145" i="3"/>
  <c r="P145" i="3" s="1"/>
  <c r="N144" i="3"/>
  <c r="P144" i="3" s="1"/>
  <c r="N143" i="3"/>
  <c r="P143" i="3" s="1"/>
  <c r="H147" i="3"/>
  <c r="I147" i="3" s="1"/>
  <c r="H146" i="3"/>
  <c r="M146" i="3" s="1"/>
  <c r="H145" i="3"/>
  <c r="I145" i="3" s="1"/>
  <c r="H144" i="3"/>
  <c r="I144" i="3" s="1"/>
  <c r="H143" i="3"/>
  <c r="I143" i="3" s="1"/>
  <c r="J142" i="3"/>
  <c r="D139" i="3"/>
  <c r="N139" i="3" s="1"/>
  <c r="P139" i="3" s="1"/>
  <c r="L140" i="3"/>
  <c r="J139" i="3"/>
  <c r="L132" i="3"/>
  <c r="N142" i="3"/>
  <c r="P142" i="3" s="1"/>
  <c r="H142" i="3"/>
  <c r="N141" i="3"/>
  <c r="P141" i="3" s="1"/>
  <c r="H141" i="3"/>
  <c r="M141" i="3" s="1"/>
  <c r="N140" i="3"/>
  <c r="P140" i="3" s="1"/>
  <c r="H140" i="3"/>
  <c r="I140" i="3" s="1"/>
  <c r="H139" i="3"/>
  <c r="N138" i="3"/>
  <c r="P138" i="3" s="1"/>
  <c r="H138" i="3"/>
  <c r="M138" i="3" s="1"/>
  <c r="N137" i="3"/>
  <c r="P137" i="3" s="1"/>
  <c r="H137" i="3"/>
  <c r="M137" i="3" s="1"/>
  <c r="N136" i="3"/>
  <c r="P136" i="3" s="1"/>
  <c r="H136" i="3"/>
  <c r="M136" i="3" s="1"/>
  <c r="N135" i="3"/>
  <c r="P135" i="3" s="1"/>
  <c r="H135" i="3"/>
  <c r="M135" i="3" s="1"/>
  <c r="N134" i="3"/>
  <c r="P134" i="3" s="1"/>
  <c r="H134" i="3"/>
  <c r="M134" i="3" s="1"/>
  <c r="N133" i="3"/>
  <c r="P133" i="3" s="1"/>
  <c r="H133" i="3"/>
  <c r="M133" i="3" s="1"/>
  <c r="N132" i="3"/>
  <c r="P132" i="3" s="1"/>
  <c r="H132" i="3"/>
  <c r="M132" i="3" s="1"/>
  <c r="N131" i="3"/>
  <c r="P131" i="3" s="1"/>
  <c r="H131" i="3"/>
  <c r="M131" i="3" s="1"/>
  <c r="N130" i="3"/>
  <c r="P130" i="3" s="1"/>
  <c r="H130" i="3"/>
  <c r="M130" i="3" s="1"/>
  <c r="N129" i="3"/>
  <c r="P129" i="3" s="1"/>
  <c r="H129" i="3"/>
  <c r="M129" i="3" s="1"/>
  <c r="J124" i="3"/>
  <c r="L123" i="3"/>
  <c r="N128" i="3"/>
  <c r="P128" i="3" s="1"/>
  <c r="N127" i="3"/>
  <c r="P127" i="3" s="1"/>
  <c r="N126" i="3"/>
  <c r="P126" i="3" s="1"/>
  <c r="N125" i="3"/>
  <c r="P125" i="3" s="1"/>
  <c r="N124" i="3"/>
  <c r="P124" i="3" s="1"/>
  <c r="H124" i="3"/>
  <c r="I124" i="3" s="1"/>
  <c r="H125" i="3"/>
  <c r="M125" i="3" s="1"/>
  <c r="H126" i="3"/>
  <c r="M126" i="3" s="1"/>
  <c r="H127" i="3"/>
  <c r="M127" i="3" s="1"/>
  <c r="H128" i="3"/>
  <c r="I128" i="3" s="1"/>
  <c r="H108" i="3"/>
  <c r="I108" i="3" s="1"/>
  <c r="H109" i="3"/>
  <c r="M109" i="3" s="1"/>
  <c r="H110" i="3"/>
  <c r="I110" i="3" s="1"/>
  <c r="H111" i="3"/>
  <c r="I111" i="3" s="1"/>
  <c r="H112" i="3"/>
  <c r="M112" i="3" s="1"/>
  <c r="H113" i="3"/>
  <c r="I113" i="3" s="1"/>
  <c r="H114" i="3"/>
  <c r="I114" i="3" s="1"/>
  <c r="H115" i="3"/>
  <c r="I115" i="3" s="1"/>
  <c r="H116" i="3"/>
  <c r="I116" i="3" s="1"/>
  <c r="H117" i="3"/>
  <c r="I117" i="3" s="1"/>
  <c r="H118" i="3"/>
  <c r="M118" i="3" s="1"/>
  <c r="H119" i="3"/>
  <c r="M119" i="3" s="1"/>
  <c r="H120" i="3"/>
  <c r="M120" i="3" s="1"/>
  <c r="H121" i="3"/>
  <c r="M121" i="3" s="1"/>
  <c r="H122" i="3"/>
  <c r="I122" i="3" s="1"/>
  <c r="E317" i="6"/>
  <c r="N116" i="3"/>
  <c r="P116" i="3" s="1"/>
  <c r="N117" i="3"/>
  <c r="P117" i="3" s="1"/>
  <c r="N118" i="3"/>
  <c r="P118" i="3" s="1"/>
  <c r="N119" i="3"/>
  <c r="P119" i="3" s="1"/>
  <c r="N120" i="3"/>
  <c r="P120" i="3" s="1"/>
  <c r="N121" i="3"/>
  <c r="P121" i="3" s="1"/>
  <c r="N122" i="3"/>
  <c r="P122" i="3" s="1"/>
  <c r="N123" i="3"/>
  <c r="P123" i="3" s="1"/>
  <c r="N115" i="3"/>
  <c r="P115" i="3" s="1"/>
  <c r="H123" i="3"/>
  <c r="I123" i="3" s="1"/>
  <c r="L108" i="3"/>
  <c r="J105" i="3"/>
  <c r="L105" i="3"/>
  <c r="E336" i="6"/>
  <c r="E280" i="6"/>
  <c r="E335" i="6"/>
  <c r="E279" i="6"/>
  <c r="E369" i="6"/>
  <c r="E334" i="6"/>
  <c r="E278" i="6"/>
  <c r="N2" i="3"/>
  <c r="N114" i="3"/>
  <c r="P114" i="3" s="1"/>
  <c r="N113" i="3"/>
  <c r="P113" i="3" s="1"/>
  <c r="N112" i="3"/>
  <c r="P112" i="3" s="1"/>
  <c r="N111" i="3"/>
  <c r="P111" i="3" s="1"/>
  <c r="N110" i="3"/>
  <c r="P110" i="3" s="1"/>
  <c r="N103" i="3"/>
  <c r="P103" i="3" s="1"/>
  <c r="N104" i="3"/>
  <c r="P104" i="3" s="1"/>
  <c r="N105" i="3"/>
  <c r="P105" i="3" s="1"/>
  <c r="N106" i="3"/>
  <c r="P106" i="3" s="1"/>
  <c r="N107" i="3"/>
  <c r="P107" i="3" s="1"/>
  <c r="N108" i="3"/>
  <c r="P108" i="3" s="1"/>
  <c r="N109" i="3"/>
  <c r="P109" i="3" s="1"/>
  <c r="N102" i="3"/>
  <c r="N101" i="3"/>
  <c r="P101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M102" i="3" s="1"/>
  <c r="L99" i="3"/>
  <c r="L98" i="3"/>
  <c r="L88" i="3"/>
  <c r="N97" i="3"/>
  <c r="P97" i="3" s="1"/>
  <c r="N98" i="3"/>
  <c r="P98" i="3" s="1"/>
  <c r="N99" i="3"/>
  <c r="P99" i="3" s="1"/>
  <c r="N100" i="3"/>
  <c r="P100" i="3" s="1"/>
  <c r="H97" i="3"/>
  <c r="I97" i="3" s="1"/>
  <c r="H98" i="3"/>
  <c r="M98" i="3" s="1"/>
  <c r="H99" i="3"/>
  <c r="M99" i="3" s="1"/>
  <c r="H100" i="3"/>
  <c r="I100" i="3" s="1"/>
  <c r="H101" i="3"/>
  <c r="I101" i="3" s="1"/>
  <c r="N95" i="3"/>
  <c r="P95" i="3" s="1"/>
  <c r="N96" i="3"/>
  <c r="P96" i="3" s="1"/>
  <c r="H94" i="3"/>
  <c r="I94" i="3" s="1"/>
  <c r="H95" i="3"/>
  <c r="I95" i="3" s="1"/>
  <c r="H96" i="3"/>
  <c r="M96" i="3" s="1"/>
  <c r="H93" i="3"/>
  <c r="I93" i="3" s="1"/>
  <c r="J93" i="3"/>
  <c r="N94" i="3"/>
  <c r="P94" i="3" s="1"/>
  <c r="N93" i="3"/>
  <c r="P93" i="3" s="1"/>
  <c r="N92" i="3"/>
  <c r="P92" i="3" s="1"/>
  <c r="H92" i="3"/>
  <c r="I92" i="3" s="1"/>
  <c r="N91" i="3"/>
  <c r="P91" i="3" s="1"/>
  <c r="H91" i="3"/>
  <c r="I91" i="3" s="1"/>
  <c r="N90" i="3"/>
  <c r="P90" i="3" s="1"/>
  <c r="H90" i="3"/>
  <c r="M90" i="3" s="1"/>
  <c r="L90" i="3"/>
  <c r="L84" i="3"/>
  <c r="J84" i="3"/>
  <c r="L75" i="3"/>
  <c r="L80" i="3"/>
  <c r="J80" i="3"/>
  <c r="O76" i="3"/>
  <c r="O424" i="3" s="1"/>
  <c r="N89" i="3"/>
  <c r="P89" i="3" s="1"/>
  <c r="H89" i="3"/>
  <c r="M89" i="3" s="1"/>
  <c r="N88" i="3"/>
  <c r="P88" i="3" s="1"/>
  <c r="H88" i="3"/>
  <c r="I88" i="3" s="1"/>
  <c r="N87" i="3"/>
  <c r="P87" i="3" s="1"/>
  <c r="H87" i="3"/>
  <c r="M87" i="3" s="1"/>
  <c r="N86" i="3"/>
  <c r="P86" i="3" s="1"/>
  <c r="H86" i="3"/>
  <c r="I86" i="3" s="1"/>
  <c r="N85" i="3"/>
  <c r="P85" i="3" s="1"/>
  <c r="H85" i="3"/>
  <c r="I85" i="3" s="1"/>
  <c r="N84" i="3"/>
  <c r="P84" i="3" s="1"/>
  <c r="H84" i="3"/>
  <c r="I84" i="3" s="1"/>
  <c r="N83" i="3"/>
  <c r="P83" i="3" s="1"/>
  <c r="H83" i="3"/>
  <c r="M83" i="3" s="1"/>
  <c r="N82" i="3"/>
  <c r="P82" i="3" s="1"/>
  <c r="H82" i="3"/>
  <c r="M82" i="3" s="1"/>
  <c r="N81" i="3"/>
  <c r="P81" i="3" s="1"/>
  <c r="H81" i="3"/>
  <c r="I81" i="3" s="1"/>
  <c r="N80" i="3"/>
  <c r="P80" i="3" s="1"/>
  <c r="H80" i="3"/>
  <c r="N79" i="3"/>
  <c r="P79" i="3" s="1"/>
  <c r="N78" i="3"/>
  <c r="P78" i="3" s="1"/>
  <c r="H79" i="3"/>
  <c r="I79" i="3" s="1"/>
  <c r="H78" i="3"/>
  <c r="I78" i="3" s="1"/>
  <c r="N77" i="3"/>
  <c r="P77" i="3" s="1"/>
  <c r="N76" i="3"/>
  <c r="H71" i="3"/>
  <c r="I71" i="3" s="1"/>
  <c r="H72" i="3"/>
  <c r="I72" i="3" s="1"/>
  <c r="H73" i="3"/>
  <c r="I73" i="3" s="1"/>
  <c r="H74" i="3"/>
  <c r="I74" i="3" s="1"/>
  <c r="H75" i="3"/>
  <c r="M75" i="3" s="1"/>
  <c r="H76" i="3"/>
  <c r="I76" i="3" s="1"/>
  <c r="H77" i="3"/>
  <c r="I77" i="3" s="1"/>
  <c r="L76" i="3"/>
  <c r="N75" i="3"/>
  <c r="P75" i="3" s="1"/>
  <c r="N74" i="3"/>
  <c r="P74" i="3" s="1"/>
  <c r="N73" i="3"/>
  <c r="P73" i="3" s="1"/>
  <c r="N72" i="3"/>
  <c r="P72" i="3" s="1"/>
  <c r="L71" i="3"/>
  <c r="E305" i="6"/>
  <c r="N71" i="3"/>
  <c r="P71" i="3" s="1"/>
  <c r="E302" i="6"/>
  <c r="N70" i="3"/>
  <c r="P70" i="3" s="1"/>
  <c r="H70" i="3"/>
  <c r="I70" i="3" s="1"/>
  <c r="N69" i="3"/>
  <c r="P69" i="3" s="1"/>
  <c r="H69" i="3"/>
  <c r="I69" i="3" s="1"/>
  <c r="N68" i="3"/>
  <c r="P68" i="3" s="1"/>
  <c r="H68" i="3"/>
  <c r="I68" i="3" s="1"/>
  <c r="L68" i="3"/>
  <c r="K49" i="3"/>
  <c r="K424" i="3" s="1"/>
  <c r="C5" i="8"/>
  <c r="N67" i="3"/>
  <c r="P67" i="3" s="1"/>
  <c r="H67" i="3"/>
  <c r="I67" i="3" s="1"/>
  <c r="M249" i="3" l="1"/>
  <c r="I249" i="3"/>
  <c r="I212" i="3"/>
  <c r="M177" i="3"/>
  <c r="I180" i="3"/>
  <c r="M179" i="3"/>
  <c r="I175" i="3"/>
  <c r="I177" i="3"/>
  <c r="I183" i="3"/>
  <c r="M181" i="3"/>
  <c r="I182" i="3"/>
  <c r="I178" i="3"/>
  <c r="I176" i="3"/>
  <c r="I172" i="3"/>
  <c r="I173" i="3"/>
  <c r="M200" i="3"/>
  <c r="I174" i="3"/>
  <c r="I170" i="3"/>
  <c r="I168" i="3"/>
  <c r="M167" i="3"/>
  <c r="M169" i="3"/>
  <c r="I165" i="3"/>
  <c r="I162" i="3"/>
  <c r="I171" i="3"/>
  <c r="M159" i="3"/>
  <c r="M163" i="3"/>
  <c r="M166" i="3"/>
  <c r="M164" i="3"/>
  <c r="I161" i="3"/>
  <c r="M160" i="3"/>
  <c r="I158" i="3"/>
  <c r="M150" i="3"/>
  <c r="M142" i="3"/>
  <c r="M80" i="3"/>
  <c r="M115" i="3"/>
  <c r="M70" i="3"/>
  <c r="M139" i="3"/>
  <c r="I149" i="3"/>
  <c r="M111" i="3"/>
  <c r="M86" i="3"/>
  <c r="M106" i="3"/>
  <c r="M93" i="3"/>
  <c r="M78" i="3"/>
  <c r="M152" i="3"/>
  <c r="M145" i="3"/>
  <c r="M117" i="3"/>
  <c r="M113" i="3"/>
  <c r="M105" i="3"/>
  <c r="M101" i="3"/>
  <c r="M97" i="3"/>
  <c r="M85" i="3"/>
  <c r="M81" i="3"/>
  <c r="M77" i="3"/>
  <c r="M73" i="3"/>
  <c r="M69" i="3"/>
  <c r="M156" i="3"/>
  <c r="M144" i="3"/>
  <c r="M140" i="3"/>
  <c r="M128" i="3"/>
  <c r="M124" i="3"/>
  <c r="M116" i="3"/>
  <c r="M108" i="3"/>
  <c r="M104" i="3"/>
  <c r="M100" i="3"/>
  <c r="M92" i="3"/>
  <c r="M88" i="3"/>
  <c r="M84" i="3"/>
  <c r="M76" i="3"/>
  <c r="M72" i="3"/>
  <c r="M68" i="3"/>
  <c r="M147" i="3"/>
  <c r="M143" i="3"/>
  <c r="M123" i="3"/>
  <c r="M107" i="3"/>
  <c r="M103" i="3"/>
  <c r="M95" i="3"/>
  <c r="M91" i="3"/>
  <c r="M79" i="3"/>
  <c r="M71" i="3"/>
  <c r="M67" i="3"/>
  <c r="M122" i="3"/>
  <c r="M114" i="3"/>
  <c r="M110" i="3"/>
  <c r="M94" i="3"/>
  <c r="M74" i="3"/>
  <c r="M157" i="3"/>
  <c r="I155" i="3"/>
  <c r="M154" i="3"/>
  <c r="I153" i="3"/>
  <c r="I151" i="3"/>
  <c r="I148" i="3"/>
  <c r="I146" i="3"/>
  <c r="I135" i="3"/>
  <c r="I141" i="3"/>
  <c r="I139" i="3"/>
  <c r="I138" i="3"/>
  <c r="I137" i="3"/>
  <c r="I136" i="3"/>
  <c r="I134" i="3"/>
  <c r="I132" i="3"/>
  <c r="I131" i="3"/>
  <c r="I142" i="3"/>
  <c r="I133" i="3"/>
  <c r="I130" i="3"/>
  <c r="I129" i="3"/>
  <c r="I125" i="3"/>
  <c r="I126" i="3"/>
  <c r="I127" i="3"/>
  <c r="I121" i="3"/>
  <c r="I120" i="3"/>
  <c r="I119" i="3"/>
  <c r="I118" i="3"/>
  <c r="I112" i="3"/>
  <c r="P102" i="3"/>
  <c r="I102" i="3"/>
  <c r="I109" i="3"/>
  <c r="I98" i="3"/>
  <c r="I99" i="3"/>
  <c r="I96" i="3"/>
  <c r="I90" i="3"/>
  <c r="I89" i="3"/>
  <c r="P76" i="3"/>
  <c r="I87" i="3"/>
  <c r="I83" i="3"/>
  <c r="I82" i="3"/>
  <c r="I80" i="3"/>
  <c r="I75" i="3"/>
  <c r="N66" i="3"/>
  <c r="P66" i="3" s="1"/>
  <c r="H66" i="3"/>
  <c r="M66" i="3" s="1"/>
  <c r="L65" i="3"/>
  <c r="N65" i="3"/>
  <c r="P65" i="3" s="1"/>
  <c r="H65" i="3"/>
  <c r="J65" i="3"/>
  <c r="N64" i="3"/>
  <c r="P64" i="3" s="1"/>
  <c r="H64" i="3"/>
  <c r="I65" i="3" l="1"/>
  <c r="M65" i="3"/>
  <c r="I64" i="3"/>
  <c r="M64" i="3"/>
  <c r="I66" i="3"/>
  <c r="L62" i="3"/>
  <c r="N63" i="3"/>
  <c r="P63" i="3" s="1"/>
  <c r="H63" i="3"/>
  <c r="N62" i="3"/>
  <c r="P62" i="3" s="1"/>
  <c r="H62" i="3"/>
  <c r="N61" i="3"/>
  <c r="P61" i="3" s="1"/>
  <c r="H61" i="3"/>
  <c r="L61" i="3"/>
  <c r="L59" i="3"/>
  <c r="H60" i="3"/>
  <c r="M60" i="3" s="1"/>
  <c r="H59" i="3"/>
  <c r="L58" i="3"/>
  <c r="H58" i="3"/>
  <c r="M58" i="3" s="1"/>
  <c r="N60" i="3"/>
  <c r="P60" i="3" s="1"/>
  <c r="N59" i="3"/>
  <c r="P59" i="3" s="1"/>
  <c r="N57" i="3"/>
  <c r="N56" i="3"/>
  <c r="N55" i="3"/>
  <c r="N54" i="3"/>
  <c r="H57" i="3"/>
  <c r="H56" i="3"/>
  <c r="M56" i="3" s="1"/>
  <c r="H55" i="3"/>
  <c r="M55" i="3" s="1"/>
  <c r="H54" i="3"/>
  <c r="M54" i="3" s="1"/>
  <c r="L51" i="3"/>
  <c r="H51" i="3"/>
  <c r="M51" i="3" s="1"/>
  <c r="I62" i="3" l="1"/>
  <c r="M62" i="3"/>
  <c r="I57" i="3"/>
  <c r="M57" i="3"/>
  <c r="I59" i="3"/>
  <c r="M59" i="3"/>
  <c r="I61" i="3"/>
  <c r="M61" i="3"/>
  <c r="I63" i="3"/>
  <c r="M63" i="3"/>
  <c r="I60" i="3"/>
  <c r="I56" i="3"/>
  <c r="I55" i="3"/>
  <c r="I54" i="3"/>
  <c r="N49" i="3"/>
  <c r="P49" i="3" s="1"/>
  <c r="H49" i="3"/>
  <c r="M49" i="3" s="1"/>
  <c r="N58" i="3"/>
  <c r="P58" i="3" s="1"/>
  <c r="N53" i="3"/>
  <c r="P53" i="3" s="1"/>
  <c r="H53" i="3"/>
  <c r="M53" i="3" s="1"/>
  <c r="N52" i="3"/>
  <c r="P52" i="3" s="1"/>
  <c r="H52" i="3"/>
  <c r="N51" i="3"/>
  <c r="P51" i="3" s="1"/>
  <c r="I51" i="3"/>
  <c r="N50" i="3"/>
  <c r="P50" i="3" s="1"/>
  <c r="H50" i="3"/>
  <c r="M50" i="3" s="1"/>
  <c r="N48" i="3"/>
  <c r="P48" i="3" s="1"/>
  <c r="L47" i="3"/>
  <c r="L48" i="3"/>
  <c r="H48" i="3"/>
  <c r="M48" i="3" s="1"/>
  <c r="N47" i="3"/>
  <c r="P47" i="3" s="1"/>
  <c r="H47" i="3"/>
  <c r="M47" i="3" s="1"/>
  <c r="J42" i="3"/>
  <c r="E271" i="6"/>
  <c r="N41" i="3"/>
  <c r="P41" i="3" s="1"/>
  <c r="N42" i="3"/>
  <c r="P42" i="3" s="1"/>
  <c r="N43" i="3"/>
  <c r="P43" i="3" s="1"/>
  <c r="N44" i="3"/>
  <c r="P44" i="3" s="1"/>
  <c r="N45" i="3"/>
  <c r="P45" i="3" s="1"/>
  <c r="N46" i="3"/>
  <c r="P46" i="3" s="1"/>
  <c r="H41" i="3"/>
  <c r="M41" i="3" s="1"/>
  <c r="H42" i="3"/>
  <c r="H43" i="3"/>
  <c r="H44" i="3"/>
  <c r="M44" i="3" s="1"/>
  <c r="H45" i="3"/>
  <c r="M45" i="3" s="1"/>
  <c r="H46" i="3"/>
  <c r="M46" i="3" s="1"/>
  <c r="H36" i="3"/>
  <c r="M36" i="3" s="1"/>
  <c r="N36" i="3"/>
  <c r="P36" i="3" s="1"/>
  <c r="H37" i="3"/>
  <c r="N37" i="3"/>
  <c r="P37" i="3" s="1"/>
  <c r="H38" i="3"/>
  <c r="M38" i="3" s="1"/>
  <c r="N38" i="3"/>
  <c r="P38" i="3" s="1"/>
  <c r="H39" i="3"/>
  <c r="N39" i="3"/>
  <c r="P39" i="3" s="1"/>
  <c r="H40" i="3"/>
  <c r="M40" i="3" s="1"/>
  <c r="N40" i="3"/>
  <c r="N35" i="3"/>
  <c r="H35" i="3"/>
  <c r="J30" i="3"/>
  <c r="N34" i="3"/>
  <c r="H34" i="3"/>
  <c r="N33" i="3"/>
  <c r="H33" i="3"/>
  <c r="N32" i="3"/>
  <c r="H32" i="3"/>
  <c r="L424" i="3" l="1"/>
  <c r="M42" i="3"/>
  <c r="I35" i="3"/>
  <c r="M35" i="3"/>
  <c r="I52" i="3"/>
  <c r="M52" i="3"/>
  <c r="I32" i="3"/>
  <c r="M32" i="3"/>
  <c r="I34" i="3"/>
  <c r="M34" i="3"/>
  <c r="I39" i="3"/>
  <c r="M39" i="3"/>
  <c r="I37" i="3"/>
  <c r="M37" i="3"/>
  <c r="I33" i="3"/>
  <c r="M33" i="3"/>
  <c r="I43" i="3"/>
  <c r="M43" i="3"/>
  <c r="I48" i="3"/>
  <c r="I49" i="3"/>
  <c r="I58" i="3"/>
  <c r="I53" i="3"/>
  <c r="I50" i="3"/>
  <c r="I47" i="3"/>
  <c r="I45" i="3"/>
  <c r="I44" i="3"/>
  <c r="I42" i="3"/>
  <c r="I46" i="3"/>
  <c r="I41" i="3"/>
  <c r="I36" i="3"/>
  <c r="I40" i="3"/>
  <c r="P40" i="3"/>
  <c r="I38" i="3"/>
  <c r="N31" i="3"/>
  <c r="P31" i="3" s="1"/>
  <c r="H31" i="3"/>
  <c r="N30" i="3"/>
  <c r="P30" i="3" s="1"/>
  <c r="H30" i="3"/>
  <c r="N29" i="3"/>
  <c r="P29" i="3" s="1"/>
  <c r="H29" i="3"/>
  <c r="N28" i="3"/>
  <c r="P28" i="3" s="1"/>
  <c r="H28" i="3"/>
  <c r="N27" i="3"/>
  <c r="H27" i="3"/>
  <c r="M27" i="3" s="1"/>
  <c r="E623" i="6"/>
  <c r="E622" i="6"/>
  <c r="E618" i="6"/>
  <c r="E617" i="6"/>
  <c r="E606" i="6"/>
  <c r="E605" i="6"/>
  <c r="E601" i="6"/>
  <c r="E600" i="6"/>
  <c r="E591" i="6"/>
  <c r="E590" i="6"/>
  <c r="E586" i="6"/>
  <c r="E585" i="6"/>
  <c r="E574" i="6"/>
  <c r="E573" i="6"/>
  <c r="E561" i="6"/>
  <c r="E560" i="6"/>
  <c r="E537" i="6"/>
  <c r="E536" i="6"/>
  <c r="E521" i="6"/>
  <c r="E520" i="6"/>
  <c r="E143" i="6"/>
  <c r="E227" i="6"/>
  <c r="E224" i="6"/>
  <c r="E222" i="6"/>
  <c r="E195" i="6"/>
  <c r="E181" i="6"/>
  <c r="E179" i="6"/>
  <c r="E178" i="6"/>
  <c r="E177" i="6"/>
  <c r="E151" i="6"/>
  <c r="E137" i="6"/>
  <c r="E128" i="6"/>
  <c r="E127" i="6"/>
  <c r="E124" i="6"/>
  <c r="E122" i="6"/>
  <c r="E119" i="6"/>
  <c r="E118" i="6"/>
  <c r="E111" i="6"/>
  <c r="E106" i="6"/>
  <c r="E104" i="6"/>
  <c r="E93" i="6"/>
  <c r="E16" i="6"/>
  <c r="P35" i="3"/>
  <c r="P34" i="3"/>
  <c r="P33" i="3"/>
  <c r="P32" i="3"/>
  <c r="N26" i="3"/>
  <c r="P26" i="3" s="1"/>
  <c r="H26" i="3"/>
  <c r="J19" i="3"/>
  <c r="D13" i="4"/>
  <c r="D12" i="4"/>
  <c r="D11" i="4"/>
  <c r="D10" i="4"/>
  <c r="D9" i="4"/>
  <c r="D8" i="4"/>
  <c r="D7" i="4"/>
  <c r="D6" i="4"/>
  <c r="D5" i="4"/>
  <c r="D4" i="4"/>
  <c r="N23" i="3"/>
  <c r="P23" i="3" s="1"/>
  <c r="H23" i="3"/>
  <c r="M23" i="3" s="1"/>
  <c r="N24" i="3"/>
  <c r="P24" i="3" s="1"/>
  <c r="H24" i="3"/>
  <c r="M24" i="3" s="1"/>
  <c r="N25" i="3"/>
  <c r="P25" i="3" s="1"/>
  <c r="H25" i="3"/>
  <c r="M25" i="3" s="1"/>
  <c r="N22" i="3"/>
  <c r="P22" i="3" s="1"/>
  <c r="H22" i="3"/>
  <c r="M22" i="3" s="1"/>
  <c r="N21" i="3"/>
  <c r="P21" i="3" s="1"/>
  <c r="H21" i="3"/>
  <c r="N20" i="3"/>
  <c r="P20" i="3" s="1"/>
  <c r="H20" i="3"/>
  <c r="M20" i="3" s="1"/>
  <c r="H19" i="3"/>
  <c r="N19" i="3"/>
  <c r="P19" i="3" s="1"/>
  <c r="N17" i="3"/>
  <c r="P17" i="3" s="1"/>
  <c r="N18" i="3"/>
  <c r="P18" i="3" s="1"/>
  <c r="N16" i="3"/>
  <c r="P16" i="3" s="1"/>
  <c r="N15" i="3"/>
  <c r="P15" i="3" s="1"/>
  <c r="H15" i="3"/>
  <c r="H16" i="3"/>
  <c r="H17" i="3"/>
  <c r="H18" i="3"/>
  <c r="H14" i="3"/>
  <c r="M14" i="3" s="1"/>
  <c r="N14" i="3"/>
  <c r="P14" i="3" s="1"/>
  <c r="J11" i="3"/>
  <c r="D7" i="3"/>
  <c r="N7" i="3" s="1"/>
  <c r="P7" i="3" s="1"/>
  <c r="E637" i="6" l="1"/>
  <c r="J424" i="3"/>
  <c r="I17" i="3"/>
  <c r="M17" i="3"/>
  <c r="I19" i="3"/>
  <c r="M19" i="3"/>
  <c r="I26" i="3"/>
  <c r="M26" i="3"/>
  <c r="I29" i="3"/>
  <c r="M29" i="3"/>
  <c r="I31" i="3"/>
  <c r="M31" i="3"/>
  <c r="I16" i="3"/>
  <c r="M16" i="3"/>
  <c r="I15" i="3"/>
  <c r="M15" i="3"/>
  <c r="I28" i="3"/>
  <c r="M28" i="3"/>
  <c r="I30" i="3"/>
  <c r="M30" i="3"/>
  <c r="I18" i="3"/>
  <c r="M18" i="3"/>
  <c r="I21" i="3"/>
  <c r="M21" i="3"/>
  <c r="D16" i="4"/>
  <c r="H8" i="4" s="1"/>
  <c r="I27" i="3"/>
  <c r="I23" i="3"/>
  <c r="I24" i="3"/>
  <c r="I25" i="3"/>
  <c r="I22" i="3"/>
  <c r="I20" i="3"/>
  <c r="I14" i="3"/>
  <c r="E639" i="6" l="1"/>
  <c r="E641" i="6" s="1"/>
  <c r="H2" i="3"/>
  <c r="N4" i="3"/>
  <c r="N6" i="3"/>
  <c r="N8" i="3"/>
  <c r="N9" i="3"/>
  <c r="N10" i="3"/>
  <c r="N11" i="3"/>
  <c r="N12" i="3"/>
  <c r="N13" i="3"/>
  <c r="N3" i="3"/>
  <c r="D5" i="3"/>
  <c r="N5" i="3" s="1"/>
  <c r="F5" i="3"/>
  <c r="N424" i="3" l="1"/>
  <c r="P3" i="3"/>
  <c r="I2" i="3"/>
  <c r="H3" i="3" l="1"/>
  <c r="H4" i="3"/>
  <c r="M4" i="3" s="1"/>
  <c r="H5" i="3"/>
  <c r="M5" i="3" s="1"/>
  <c r="H6" i="3"/>
  <c r="M6" i="3" s="1"/>
  <c r="H7" i="3"/>
  <c r="M7" i="3" s="1"/>
  <c r="H8" i="3"/>
  <c r="M8" i="3" s="1"/>
  <c r="H9" i="3"/>
  <c r="M9" i="3" s="1"/>
  <c r="H10" i="3"/>
  <c r="M10" i="3" s="1"/>
  <c r="H11" i="3"/>
  <c r="M11" i="3" s="1"/>
  <c r="H12" i="3"/>
  <c r="M12" i="3" s="1"/>
  <c r="H13" i="3"/>
  <c r="M13" i="3" s="1"/>
  <c r="H424" i="3" l="1"/>
  <c r="M3" i="3"/>
  <c r="M424" i="3" s="1"/>
  <c r="I9" i="3"/>
  <c r="I8" i="3"/>
  <c r="I13" i="3"/>
  <c r="I5" i="3"/>
  <c r="I12" i="3"/>
  <c r="I4" i="3"/>
  <c r="I3" i="3"/>
  <c r="I7" i="3"/>
  <c r="I6" i="3"/>
  <c r="I11" i="3"/>
  <c r="I10" i="3"/>
  <c r="I424" i="3" l="1"/>
  <c r="M425" i="3"/>
  <c r="A5" i="3"/>
  <c r="A7" i="3" s="1"/>
  <c r="A12" i="3" l="1"/>
  <c r="A8" i="3"/>
  <c r="A9" i="3" l="1"/>
  <c r="P4" i="3"/>
  <c r="P5" i="3"/>
  <c r="P6" i="3"/>
  <c r="P8" i="3"/>
  <c r="P9" i="3"/>
  <c r="P10" i="3"/>
  <c r="P11" i="3"/>
  <c r="P12" i="3"/>
  <c r="P13" i="3"/>
  <c r="P424" i="3" l="1"/>
  <c r="D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Guevara</author>
    <author>USER</author>
  </authors>
  <commentList>
    <comment ref="E55" authorId="0" shapeId="0" xr:uid="{9F3229D5-A431-4F77-861D-AD4880120CCC}">
      <text>
        <r>
          <rPr>
            <b/>
            <sz val="9"/>
            <color indexed="81"/>
            <rFont val="Tahoma"/>
            <family val="2"/>
          </rPr>
          <t>Fabian Guevara:</t>
        </r>
        <r>
          <rPr>
            <sz val="9"/>
            <color indexed="81"/>
            <rFont val="Tahoma"/>
            <family val="2"/>
          </rPr>
          <t xml:space="preserve">
20.000.000</t>
        </r>
      </text>
    </comment>
    <comment ref="E77" authorId="0" shapeId="0" xr:uid="{775F1805-C083-4817-8834-B31CC3B1D859}">
      <text>
        <r>
          <rPr>
            <b/>
            <sz val="9"/>
            <color indexed="81"/>
            <rFont val="Tahoma"/>
            <family val="2"/>
          </rPr>
          <t>Fabian Guevara:</t>
        </r>
        <r>
          <rPr>
            <sz val="9"/>
            <color indexed="81"/>
            <rFont val="Tahoma"/>
            <family val="2"/>
          </rPr>
          <t xml:space="preserve">
20.000.000 para 40"</t>
        </r>
      </text>
    </comment>
    <comment ref="E82" authorId="0" shapeId="0" xr:uid="{EB010995-D879-4357-B664-BD82A630FF74}">
      <text>
        <r>
          <rPr>
            <b/>
            <sz val="9"/>
            <color indexed="81"/>
            <rFont val="Tahoma"/>
            <family val="2"/>
          </rPr>
          <t>Fabian Guevara:</t>
        </r>
        <r>
          <rPr>
            <sz val="9"/>
            <color indexed="81"/>
            <rFont val="Tahoma"/>
            <family val="2"/>
          </rPr>
          <t xml:space="preserve">
5" para 45"</t>
        </r>
      </text>
    </comment>
    <comment ref="E86" authorId="0" shapeId="0" xr:uid="{988DACFA-8CBD-4EB9-B9BC-D0FC84FA7B0E}">
      <text>
        <r>
          <rPr>
            <b/>
            <sz val="9"/>
            <color indexed="81"/>
            <rFont val="Tahoma"/>
            <family val="2"/>
          </rPr>
          <t>Fabian Guevara:</t>
        </r>
        <r>
          <rPr>
            <sz val="9"/>
            <color indexed="81"/>
            <rFont val="Tahoma"/>
            <family val="2"/>
          </rPr>
          <t xml:space="preserve">
5" para 50"
</t>
        </r>
      </text>
    </comment>
    <comment ref="E163" authorId="1" shapeId="0" xr:uid="{77287020-3203-4352-9744-93F48CA0C2BF}">
      <text>
        <r>
          <rPr>
            <sz val="9"/>
            <color indexed="81"/>
            <rFont val="Tahoma"/>
            <family val="2"/>
          </rPr>
          <t>$ 340.000 Fenovas 09-04-26
$ 70.000 Tirillas 18-04-26
$ 240.000 Isoface 16-06-26
$ 59.000 Bucapina Varios 11-08-26
$ 280.000 Isoface 12-08-26
$ 97.000 Meformina 12-08-26</t>
        </r>
      </text>
    </comment>
  </commentList>
</comments>
</file>

<file path=xl/sharedStrings.xml><?xml version="1.0" encoding="utf-8"?>
<sst xmlns="http://schemas.openxmlformats.org/spreadsheetml/2006/main" count="3525" uniqueCount="378">
  <si>
    <t>RESPONSABLE</t>
  </si>
  <si>
    <t>VENTA TOTAL</t>
  </si>
  <si>
    <t>VENTA EFECTIVO</t>
  </si>
  <si>
    <t>DIFERENCIA</t>
  </si>
  <si>
    <t>Luz Nelly</t>
  </si>
  <si>
    <t>Emma</t>
  </si>
  <si>
    <t>SALDO BANCO</t>
  </si>
  <si>
    <t>SALDO EFECTIVO</t>
  </si>
  <si>
    <t>VENTA DEBITO</t>
  </si>
  <si>
    <t>VENTA CREDITO</t>
  </si>
  <si>
    <t>VENTA TRANSFERENCIA</t>
  </si>
  <si>
    <t>EFECTIVO RECIBIDO</t>
  </si>
  <si>
    <t>Transferencia</t>
  </si>
  <si>
    <t>Efectivo</t>
  </si>
  <si>
    <t>TOTAL BANCO</t>
  </si>
  <si>
    <t>No.</t>
  </si>
  <si>
    <t>EGRESO BANCO</t>
  </si>
  <si>
    <t>EGRESO EFECTIVO</t>
  </si>
  <si>
    <t xml:space="preserve"> </t>
  </si>
  <si>
    <t>ARQUEO DE CAJA #1</t>
  </si>
  <si>
    <t>VALOR</t>
  </si>
  <si>
    <t>CANTIDAD</t>
  </si>
  <si>
    <t>TOTAL</t>
  </si>
  <si>
    <t>Tatiana</t>
  </si>
  <si>
    <t>Fijo</t>
  </si>
  <si>
    <t>Variable</t>
  </si>
  <si>
    <t>PROVEEDOR</t>
  </si>
  <si>
    <t>CONCEPTO</t>
  </si>
  <si>
    <t>FACTURA</t>
  </si>
  <si>
    <t>VENCIMIENTO</t>
  </si>
  <si>
    <t>PAGADO CON</t>
  </si>
  <si>
    <t>EL DIA</t>
  </si>
  <si>
    <t>Invervisa</t>
  </si>
  <si>
    <t>Insumos</t>
  </si>
  <si>
    <t>Abril</t>
  </si>
  <si>
    <t>Mayo</t>
  </si>
  <si>
    <t>Guevara SDP</t>
  </si>
  <si>
    <t>Junio</t>
  </si>
  <si>
    <t>Julio</t>
  </si>
  <si>
    <t>Agosto</t>
  </si>
  <si>
    <t>Septiembre</t>
  </si>
  <si>
    <t>Movil Éxito</t>
  </si>
  <si>
    <t>Celular</t>
  </si>
  <si>
    <t>Octubre</t>
  </si>
  <si>
    <t>Triple A</t>
  </si>
  <si>
    <t>Camilo</t>
  </si>
  <si>
    <t>Programa contable</t>
  </si>
  <si>
    <t>Unidrogas</t>
  </si>
  <si>
    <t>Air-e</t>
  </si>
  <si>
    <t>Electricidad</t>
  </si>
  <si>
    <t>JN</t>
  </si>
  <si>
    <t>Marleydis</t>
  </si>
  <si>
    <t>Quincena</t>
  </si>
  <si>
    <t>Claro</t>
  </si>
  <si>
    <t>Internet - Telefono</t>
  </si>
  <si>
    <t>Andrw</t>
  </si>
  <si>
    <t>Impulso</t>
  </si>
  <si>
    <t>Medimarcas</t>
  </si>
  <si>
    <t>Inversiones 3R</t>
  </si>
  <si>
    <t>Arriendo</t>
  </si>
  <si>
    <t>Noviembre</t>
  </si>
  <si>
    <t>FV-1-15634</t>
  </si>
  <si>
    <t>FV-1-15685</t>
  </si>
  <si>
    <t>FV-1-16109</t>
  </si>
  <si>
    <t>FV-1-15715</t>
  </si>
  <si>
    <t>FV-1-15910</t>
  </si>
  <si>
    <t>FV-1-15994</t>
  </si>
  <si>
    <t>FV-1-16066</t>
  </si>
  <si>
    <t>Diciembre</t>
  </si>
  <si>
    <t>FV-1-16123</t>
  </si>
  <si>
    <t>Primas</t>
  </si>
  <si>
    <t>FV-1-16334</t>
  </si>
  <si>
    <t>FV-1-16403</t>
  </si>
  <si>
    <t>FV-1-16481</t>
  </si>
  <si>
    <t>FV-1-16482</t>
  </si>
  <si>
    <t>FV-1-16500</t>
  </si>
  <si>
    <t>FV-1-16502</t>
  </si>
  <si>
    <t>FV-1-16618</t>
  </si>
  <si>
    <t>FV-1-16636</t>
  </si>
  <si>
    <t>FV-1-16691</t>
  </si>
  <si>
    <t>FV-1-16781</t>
  </si>
  <si>
    <t>FV-1-16820</t>
  </si>
  <si>
    <t>FV-1-16895</t>
  </si>
  <si>
    <t>FV-1-16926</t>
  </si>
  <si>
    <t>FV-1-16994</t>
  </si>
  <si>
    <t>FV-1-16999</t>
  </si>
  <si>
    <t>Enero</t>
  </si>
  <si>
    <t>FV-1-17060</t>
  </si>
  <si>
    <t>FV-1-17089</t>
  </si>
  <si>
    <t>FV-1-17146</t>
  </si>
  <si>
    <t>FV-1-17237</t>
  </si>
  <si>
    <t>FV-1-17291</t>
  </si>
  <si>
    <t>FV-1-17302</t>
  </si>
  <si>
    <t>Practicante 1</t>
  </si>
  <si>
    <t>Practicante 2</t>
  </si>
  <si>
    <t>FV-1-17366</t>
  </si>
  <si>
    <t>FV-1-17371</t>
  </si>
  <si>
    <t>FV-1-17584</t>
  </si>
  <si>
    <t>FV-1-17499</t>
  </si>
  <si>
    <t>FV-1-17529</t>
  </si>
  <si>
    <t>FV-1-17628</t>
  </si>
  <si>
    <t>FV-1-17686</t>
  </si>
  <si>
    <t>FV-1-17767</t>
  </si>
  <si>
    <t>FV-1-17784</t>
  </si>
  <si>
    <t>Febrero</t>
  </si>
  <si>
    <t>FV-1-17892</t>
  </si>
  <si>
    <t>FV-1-17914</t>
  </si>
  <si>
    <t>FV-1-17970</t>
  </si>
  <si>
    <t>Practicante</t>
  </si>
  <si>
    <t>Marzo</t>
  </si>
  <si>
    <t>FV-1-18024</t>
  </si>
  <si>
    <t>FV-1-18112</t>
  </si>
  <si>
    <t>FV-1-18183</t>
  </si>
  <si>
    <t>FV-1-18211</t>
  </si>
  <si>
    <t>FV-1-18295</t>
  </si>
  <si>
    <t>FV-1-18401</t>
  </si>
  <si>
    <t>FV-1-18426</t>
  </si>
  <si>
    <t>FV-1-18433</t>
  </si>
  <si>
    <t>FV-1-18479</t>
  </si>
  <si>
    <t>FV-1-18502</t>
  </si>
  <si>
    <t>FV-1-18497</t>
  </si>
  <si>
    <t>FV-1-18537</t>
  </si>
  <si>
    <t>Coopidrogas</t>
  </si>
  <si>
    <t>FV-1-18615</t>
  </si>
  <si>
    <t>FV-1-18814</t>
  </si>
  <si>
    <t>FV-1-18813</t>
  </si>
  <si>
    <t>FV-1-18705</t>
  </si>
  <si>
    <t>FV-1-18739</t>
  </si>
  <si>
    <t>FV-1-18884</t>
  </si>
  <si>
    <t>Yodely</t>
  </si>
  <si>
    <t>Valery</t>
  </si>
  <si>
    <t>FV-1-18896</t>
  </si>
  <si>
    <t>FV-1-18937</t>
  </si>
  <si>
    <t>FV-1-18938</t>
  </si>
  <si>
    <t>Jaime Alvarez</t>
  </si>
  <si>
    <t>Liquidación</t>
  </si>
  <si>
    <t>Administración</t>
  </si>
  <si>
    <t>fijo</t>
  </si>
  <si>
    <t>10//02/2026</t>
  </si>
  <si>
    <t>TOTAL:</t>
  </si>
  <si>
    <t>LUZ NELLY</t>
  </si>
  <si>
    <t>DICIEMBRE:</t>
  </si>
  <si>
    <t>EMMA</t>
  </si>
  <si>
    <t>RAYA</t>
  </si>
  <si>
    <t>Espuma</t>
  </si>
  <si>
    <t>Aguardiente</t>
  </si>
  <si>
    <t>Guacherna</t>
  </si>
  <si>
    <t>Carnavales</t>
  </si>
  <si>
    <t>CAJA GENERAL</t>
  </si>
  <si>
    <t>FV-1-18968</t>
  </si>
  <si>
    <t>FV-1-19045</t>
  </si>
  <si>
    <t>FV-1-19103</t>
  </si>
  <si>
    <t>Tetras Licor</t>
  </si>
  <si>
    <t>Andres Morales</t>
  </si>
  <si>
    <t>Fabian Guevara</t>
  </si>
  <si>
    <t>Wisky - Ice</t>
  </si>
  <si>
    <t>FV-1-16790</t>
  </si>
  <si>
    <t>FV-1-19248</t>
  </si>
  <si>
    <t>FV-1-19208</t>
  </si>
  <si>
    <t>Licor</t>
  </si>
  <si>
    <t>FV-1-19356</t>
  </si>
  <si>
    <t>FV-1-19351</t>
  </si>
  <si>
    <t>FV-1-19391</t>
  </si>
  <si>
    <t>FV-1-19456</t>
  </si>
  <si>
    <t>FV-1-19129</t>
  </si>
  <si>
    <t>FV-1-19552</t>
  </si>
  <si>
    <t>Licores</t>
  </si>
  <si>
    <t>FV-1-19733</t>
  </si>
  <si>
    <t>FV-1-19647</t>
  </si>
  <si>
    <t>8/23/2026</t>
  </si>
  <si>
    <t>9/03/206</t>
  </si>
  <si>
    <t>FV-1-19873</t>
  </si>
  <si>
    <t>FV-1-19808</t>
  </si>
  <si>
    <t>emma</t>
  </si>
  <si>
    <t>FV-1-14584</t>
  </si>
  <si>
    <t>LUZ Y EMMA: NO TOCAR LAS CASILLAS DE COLORES, SINO LAS SACO Y TRAIGO A TATIANA. SOLO TOCAR LAS DE BLANCO Y NEGRO. $ 10.000 PESOS PARA QUIEN DAÑE LAS FORMULAS.</t>
  </si>
  <si>
    <t>febrero</t>
  </si>
  <si>
    <t>FV-1-20106</t>
  </si>
  <si>
    <t>FV-1-20235</t>
  </si>
  <si>
    <t>FV-1-20326</t>
  </si>
  <si>
    <t>FV-1-20390</t>
  </si>
  <si>
    <t>FV-1-20506</t>
  </si>
  <si>
    <t>30/03/206</t>
  </si>
  <si>
    <t>31/03/206</t>
  </si>
  <si>
    <t>efectivo</t>
  </si>
  <si>
    <t>insumos</t>
  </si>
  <si>
    <t>FV-1-20687</t>
  </si>
  <si>
    <t>FV-1-20716</t>
  </si>
  <si>
    <t>FV-1-20738</t>
  </si>
  <si>
    <t>Raya</t>
  </si>
  <si>
    <t>FV-1-20819</t>
  </si>
  <si>
    <t>8//04/2026</t>
  </si>
  <si>
    <t>CC-1-407</t>
  </si>
  <si>
    <t>FV-1-20236</t>
  </si>
  <si>
    <t>FV-1-20569</t>
  </si>
  <si>
    <t>Ludy</t>
  </si>
  <si>
    <t>COSTO:</t>
  </si>
  <si>
    <t>UTILIDAD:</t>
  </si>
  <si>
    <t>PRECIO DE VENTA</t>
  </si>
  <si>
    <t>F-V-21553</t>
  </si>
  <si>
    <t>F-V-21525</t>
  </si>
  <si>
    <t>F-V-21488</t>
  </si>
  <si>
    <t>F-V-21399</t>
  </si>
  <si>
    <t>F-V-21460</t>
  </si>
  <si>
    <t xml:space="preserve">raya </t>
  </si>
  <si>
    <t>raya</t>
  </si>
  <si>
    <t>F-V-21674</t>
  </si>
  <si>
    <t>F-V-21702</t>
  </si>
  <si>
    <t>F-V-21796</t>
  </si>
  <si>
    <t>F-V-21833</t>
  </si>
  <si>
    <t>F-V-20900</t>
  </si>
  <si>
    <t>F-V-20988</t>
  </si>
  <si>
    <t>F-V-21069</t>
  </si>
  <si>
    <t>F-V-21109</t>
  </si>
  <si>
    <t>F-V-21206</t>
  </si>
  <si>
    <t>F-V-21982</t>
  </si>
  <si>
    <t>F-V-22006</t>
  </si>
  <si>
    <t>F-V-22105</t>
  </si>
  <si>
    <t>F-V-22138</t>
  </si>
  <si>
    <t>F-V-22168</t>
  </si>
  <si>
    <t>F-V-22164</t>
  </si>
  <si>
    <t>EFECTIVO</t>
  </si>
  <si>
    <t>BANCO:</t>
  </si>
  <si>
    <t>EFECTIVO:</t>
  </si>
  <si>
    <t>F-V-22289</t>
  </si>
  <si>
    <t>F-V- 22342</t>
  </si>
  <si>
    <t>F-V-22436</t>
  </si>
  <si>
    <t>F-V- 22289</t>
  </si>
  <si>
    <t>F-V 22598</t>
  </si>
  <si>
    <t>luz Nelly</t>
  </si>
  <si>
    <t>medicamentos BETARRETIN H</t>
  </si>
  <si>
    <t xml:space="preserve">MEDICAMENTOS EPIDUO </t>
  </si>
  <si>
    <t>FECHA</t>
  </si>
  <si>
    <t>MEDICAMENTOS ROSUVINA JAQUEDOL</t>
  </si>
  <si>
    <t>PAGO LAMINAS DEL MUNDIAL</t>
  </si>
  <si>
    <t xml:space="preserve">MEDICAMENTOS TRANSTEC </t>
  </si>
  <si>
    <t xml:space="preserve">BEBIDAS </t>
  </si>
  <si>
    <t xml:space="preserve">FRITO LAY </t>
  </si>
  <si>
    <t>F-V-21262</t>
  </si>
  <si>
    <t>F-V-21275</t>
  </si>
  <si>
    <t>DOMICILIOS SR FABIAN</t>
  </si>
  <si>
    <t>MAYO</t>
  </si>
  <si>
    <t>OJO: NO TOCAR LAS CELDAS EN AMARILLO</t>
  </si>
  <si>
    <t>Fecha</t>
  </si>
  <si>
    <t>BAVARIA</t>
  </si>
  <si>
    <t>CATEGORIA</t>
  </si>
  <si>
    <t>RC</t>
  </si>
  <si>
    <t>Otros</t>
  </si>
  <si>
    <t>Medicamentos</t>
  </si>
  <si>
    <t>Bebidas</t>
  </si>
  <si>
    <t>Mekatos</t>
  </si>
  <si>
    <t>Domicilio</t>
  </si>
  <si>
    <t>MEDICAMENTOS VALTERAL</t>
  </si>
  <si>
    <t>TRANSPORTES</t>
  </si>
  <si>
    <t>TRANSPORTE VALERY</t>
  </si>
  <si>
    <t>INSUMOS</t>
  </si>
  <si>
    <t>INSUMOS DOLLARCITY</t>
  </si>
  <si>
    <t xml:space="preserve">EXTENCION FARMACIA </t>
  </si>
  <si>
    <t>MEDICAMENTOS</t>
  </si>
  <si>
    <t>10/06/206</t>
  </si>
  <si>
    <t>junio</t>
  </si>
  <si>
    <t>FESTIVO</t>
  </si>
  <si>
    <t xml:space="preserve"> EMMA 8/15/ JUNIO</t>
  </si>
  <si>
    <t>NELLY 8/015 JUNIO</t>
  </si>
  <si>
    <t xml:space="preserve">BOLSAS FARA LA FARMACIA </t>
  </si>
  <si>
    <t>GLOBOS SELECCIÓN COLOMBIA</t>
  </si>
  <si>
    <t xml:space="preserve">MEDICAMENTOS BACLOFENO </t>
  </si>
  <si>
    <t>arreglo puerta</t>
  </si>
  <si>
    <t>ARREGLO PUERTA</t>
  </si>
  <si>
    <t>HELADOS</t>
  </si>
  <si>
    <t>DIAN</t>
  </si>
  <si>
    <t xml:space="preserve">TRANSFERENCIA </t>
  </si>
  <si>
    <t xml:space="preserve">DIAN </t>
  </si>
  <si>
    <t>DULCES</t>
  </si>
  <si>
    <t>Total pagado mes:</t>
  </si>
  <si>
    <t>rc</t>
  </si>
  <si>
    <t xml:space="preserve">insumos </t>
  </si>
  <si>
    <t>globoS SELECCIÓN COLOMBIA</t>
  </si>
  <si>
    <t xml:space="preserve">FESTIVO </t>
  </si>
  <si>
    <t>PAGO DE FESTIVO 29 JUNIO EMMA Y NELLY</t>
  </si>
  <si>
    <t xml:space="preserve">PAGO DE BEBIDAS </t>
  </si>
  <si>
    <t>Total Facturado mes:</t>
  </si>
  <si>
    <t>Diferencia:</t>
  </si>
  <si>
    <t>JUNIO</t>
  </si>
  <si>
    <t>RAYA EMMA</t>
  </si>
  <si>
    <t>RAYA NELLY</t>
  </si>
  <si>
    <t xml:space="preserve">  </t>
  </si>
  <si>
    <t>BEBIDAS</t>
  </si>
  <si>
    <t xml:space="preserve">     </t>
  </si>
  <si>
    <t>medicamentos</t>
  </si>
  <si>
    <t>TARJETA</t>
  </si>
  <si>
    <t xml:space="preserve">EFECTIVO </t>
  </si>
  <si>
    <t>RETIRAR DEL MONEDERO</t>
  </si>
  <si>
    <t>F-V 24706</t>
  </si>
  <si>
    <t>helados</t>
  </si>
  <si>
    <t>dollarcity</t>
  </si>
  <si>
    <t>inumos</t>
  </si>
  <si>
    <t>mecatos</t>
  </si>
  <si>
    <t>indumo</t>
  </si>
  <si>
    <t>F-V-21912</t>
  </si>
  <si>
    <t>Olga</t>
  </si>
  <si>
    <t>JULIO</t>
  </si>
  <si>
    <t>AGOSTO</t>
  </si>
  <si>
    <t>SEPTIEMBRE</t>
  </si>
  <si>
    <t>OCTUBRE</t>
  </si>
  <si>
    <t>NOVIEMBRE</t>
  </si>
  <si>
    <t>DICIEMBRE</t>
  </si>
  <si>
    <t>ludy</t>
  </si>
  <si>
    <t>marzo</t>
  </si>
  <si>
    <t>NELLY</t>
  </si>
  <si>
    <t>LUDY</t>
  </si>
  <si>
    <t xml:space="preserve">papel datafono </t>
  </si>
  <si>
    <t>F-V 24762</t>
  </si>
  <si>
    <t>F-V 24789</t>
  </si>
  <si>
    <t>F-V 24820</t>
  </si>
  <si>
    <t>F-V 24876</t>
  </si>
  <si>
    <t>F-V 24889</t>
  </si>
  <si>
    <t>F-V 25000</t>
  </si>
  <si>
    <t>F-V 25016</t>
  </si>
  <si>
    <t>F-V 25065</t>
  </si>
  <si>
    <t>F-V 25199</t>
  </si>
  <si>
    <t>F-V 25211</t>
  </si>
  <si>
    <t>F-V 22446</t>
  </si>
  <si>
    <t>F-V 22521</t>
  </si>
  <si>
    <t>F-V 22629</t>
  </si>
  <si>
    <t>F-V 22641</t>
  </si>
  <si>
    <t>F-V 22662</t>
  </si>
  <si>
    <t>F-V 22704</t>
  </si>
  <si>
    <t>F-V 22816</t>
  </si>
  <si>
    <t>F-V 22870</t>
  </si>
  <si>
    <t>F-V 22897</t>
  </si>
  <si>
    <t>F-V 22952</t>
  </si>
  <si>
    <t>F-V 23062</t>
  </si>
  <si>
    <t>F-V 23147</t>
  </si>
  <si>
    <t>F-V 23173</t>
  </si>
  <si>
    <t>F-V 23221</t>
  </si>
  <si>
    <t>F-V 23218</t>
  </si>
  <si>
    <t>F-V 23363</t>
  </si>
  <si>
    <t>F-V 23362</t>
  </si>
  <si>
    <t>F-V 23474</t>
  </si>
  <si>
    <t>F-V 23624</t>
  </si>
  <si>
    <t>F-V 23698</t>
  </si>
  <si>
    <t>F-V 23772</t>
  </si>
  <si>
    <t>F-V 23891</t>
  </si>
  <si>
    <t>F-V 23932</t>
  </si>
  <si>
    <t>F-V 24015</t>
  </si>
  <si>
    <t>F-V 24026</t>
  </si>
  <si>
    <t>F-V 24078</t>
  </si>
  <si>
    <t>F-V 24109</t>
  </si>
  <si>
    <t>F-V 24154</t>
  </si>
  <si>
    <t>F-V 24303</t>
  </si>
  <si>
    <t>F-V 24347</t>
  </si>
  <si>
    <t>F-V 24386</t>
  </si>
  <si>
    <t>F-V 24404</t>
  </si>
  <si>
    <t>F-V 24495</t>
  </si>
  <si>
    <t>F-V 24565</t>
  </si>
  <si>
    <t>F-V 23851</t>
  </si>
  <si>
    <t>F-V 23854</t>
  </si>
  <si>
    <t>F-V-25304</t>
  </si>
  <si>
    <t xml:space="preserve">MEDICAMENTOS </t>
  </si>
  <si>
    <t xml:space="preserve"> 14/08/2026</t>
  </si>
  <si>
    <t xml:space="preserve">bebidas </t>
  </si>
  <si>
    <t>valery</t>
  </si>
  <si>
    <t>dia que hizo valery a emma</t>
  </si>
  <si>
    <t>F-V-25435</t>
  </si>
  <si>
    <t>F-V-25469</t>
  </si>
  <si>
    <t>F-V-25601</t>
  </si>
  <si>
    <t>F-V-25670</t>
  </si>
  <si>
    <t>pasadias</t>
  </si>
  <si>
    <t xml:space="preserve">pasadias </t>
  </si>
  <si>
    <t xml:space="preserve">aseo </t>
  </si>
  <si>
    <t>ase puerta</t>
  </si>
  <si>
    <t>30//08/2026</t>
  </si>
  <si>
    <t>F-V-25880</t>
  </si>
  <si>
    <t>F-V-25945</t>
  </si>
  <si>
    <t>F-V-25803</t>
  </si>
  <si>
    <t>F-V-26004</t>
  </si>
  <si>
    <t>F-V-26081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</si>
</sst>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-[$$-240A]\ * #,##0_-;\-[$$-240A]\ * #,##0_-;_-[$$-240A]\ * &quot;-&quot;_-;_-@_-"/>
    <numFmt numFmtId="165" formatCode="[$-F800]dddd\,\ mmmm\ dd\,\ yyyy"/>
    <numFmt numFmtId="166" formatCode="d/mm/yyyy;@"/>
    <numFmt numFmtId="167" formatCode="_-* #,##0.00\ &quot;€&quot;_-;\-* #,##0.00\ &quot;€&quot;_-;_-* &quot;-&quot;??\ &quot;€&quot;_-;_-@_-"/>
    <numFmt numFmtId="168" formatCode="_-* #,##0.00\ _€_-;\-* #,##0.00\ _€_-;_-* &quot;-&quot;??\ _€_-;_-@_-"/>
    <numFmt numFmtId="169" formatCode="_-&quot;$&quot;\ * #,##0_-;\-&quot;$&quot;\ * #,##0_-;_-&quot;$&quot;\ * &quot;-&quot;??_-;_-@_-"/>
    <numFmt numFmtId="170" formatCode="_-[$$-240A]\ * #,##0_-;\-[$$-240A]\ * #,##0_-;_-[$$-240A]\ * &quot;-&quot;??_-;_-@_-"/>
    <numFmt numFmtId="171" formatCode="_-[$$-240A]\ * #,##0.00_-;\-[$$-240A]\ * #,##0.00_-;_-[$$-240A]\ * &quot;-&quot;??_-;_-@_-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8" tint="-0.499984740745262"/>
      <name val="Arial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9933FF"/>
      <name val="Arial"/>
      <family val="2"/>
    </font>
    <font>
      <sz val="12"/>
      <color rgb="FF9933FF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sz val="48"/>
      <color theme="1"/>
      <name val="Arial"/>
      <family val="2"/>
    </font>
    <font>
      <sz val="48"/>
      <color rgb="FFFF0000"/>
      <name val="Arial"/>
      <family val="2"/>
    </font>
    <font>
      <sz val="48"/>
      <name val="Arial"/>
      <family val="2"/>
    </font>
    <font>
      <b/>
      <sz val="48"/>
      <color rgb="FFFF000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2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0943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6" fontId="1" fillId="12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166" fontId="1" fillId="13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14" borderId="1" xfId="0" applyNumberFormat="1" applyFont="1" applyFill="1" applyBorder="1" applyAlignment="1">
      <alignment horizontal="center" vertical="center"/>
    </xf>
    <xf numFmtId="164" fontId="1" fillId="15" borderId="1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14" fontId="1" fillId="15" borderId="1" xfId="0" applyNumberFormat="1" applyFont="1" applyFill="1" applyBorder="1" applyAlignment="1">
      <alignment horizontal="center" vertical="center"/>
    </xf>
    <xf numFmtId="164" fontId="1" fillId="16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4" fontId="1" fillId="1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2" fillId="0" borderId="0" xfId="0" applyFont="1"/>
    <xf numFmtId="169" fontId="12" fillId="0" borderId="1" xfId="4" applyNumberFormat="1" applyFont="1" applyBorder="1"/>
    <xf numFmtId="0" fontId="1" fillId="0" borderId="1" xfId="0" applyFont="1" applyFill="1" applyBorder="1" applyAlignment="1">
      <alignment horizontal="center" vertical="center"/>
    </xf>
    <xf numFmtId="169" fontId="12" fillId="0" borderId="3" xfId="4" applyNumberFormat="1" applyFont="1" applyBorder="1"/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right"/>
    </xf>
    <xf numFmtId="0" fontId="13" fillId="18" borderId="1" xfId="0" applyFont="1" applyFill="1" applyBorder="1" applyAlignment="1">
      <alignment horizontal="center"/>
    </xf>
    <xf numFmtId="0" fontId="11" fillId="0" borderId="4" xfId="0" applyFont="1" applyBorder="1" applyAlignment="1">
      <alignment horizontal="right"/>
    </xf>
    <xf numFmtId="169" fontId="11" fillId="0" borderId="4" xfId="4" applyNumberFormat="1" applyFont="1" applyBorder="1"/>
    <xf numFmtId="0" fontId="12" fillId="0" borderId="3" xfId="0" applyFont="1" applyBorder="1" applyAlignment="1">
      <alignment horizontal="right"/>
    </xf>
    <xf numFmtId="169" fontId="12" fillId="0" borderId="0" xfId="0" applyNumberFormat="1" applyFont="1"/>
    <xf numFmtId="0" fontId="13" fillId="18" borderId="4" xfId="0" applyFont="1" applyFill="1" applyBorder="1" applyAlignment="1">
      <alignment horizontal="right"/>
    </xf>
    <xf numFmtId="169" fontId="13" fillId="18" borderId="1" xfId="4" applyNumberFormat="1" applyFont="1" applyFill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164" fontId="1" fillId="19" borderId="1" xfId="0" applyNumberFormat="1" applyFont="1" applyFill="1" applyBorder="1" applyAlignment="1">
      <alignment horizontal="center" vertical="center"/>
    </xf>
    <xf numFmtId="164" fontId="1" fillId="13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/>
    </xf>
    <xf numFmtId="169" fontId="14" fillId="18" borderId="1" xfId="4" applyNumberFormat="1" applyFont="1" applyFill="1" applyBorder="1"/>
    <xf numFmtId="169" fontId="14" fillId="18" borderId="3" xfId="4" applyNumberFormat="1" applyFont="1" applyFill="1" applyBorder="1"/>
    <xf numFmtId="164" fontId="3" fillId="1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0" fontId="13" fillId="20" borderId="1" xfId="0" applyFont="1" applyFill="1" applyBorder="1" applyAlignment="1">
      <alignment horizontal="center"/>
    </xf>
    <xf numFmtId="169" fontId="15" fillId="0" borderId="1" xfId="4" applyNumberFormat="1" applyFont="1" applyFill="1" applyBorder="1"/>
    <xf numFmtId="0" fontId="12" fillId="0" borderId="0" xfId="0" applyFont="1" applyAlignment="1">
      <alignment horizontal="right"/>
    </xf>
    <xf numFmtId="0" fontId="17" fillId="21" borderId="0" xfId="0" applyFont="1" applyFill="1" applyProtection="1">
      <protection locked="0"/>
    </xf>
    <xf numFmtId="0" fontId="20" fillId="21" borderId="9" xfId="0" applyFont="1" applyFill="1" applyBorder="1" applyAlignment="1" applyProtection="1">
      <alignment horizontal="center"/>
      <protection locked="0"/>
    </xf>
    <xf numFmtId="0" fontId="17" fillId="0" borderId="1" xfId="0" applyFont="1" applyBorder="1" applyProtection="1">
      <protection locked="0"/>
    </xf>
    <xf numFmtId="44" fontId="17" fillId="0" borderId="1" xfId="4" applyFont="1" applyBorder="1" applyProtection="1">
      <protection locked="0"/>
    </xf>
    <xf numFmtId="0" fontId="17" fillId="0" borderId="0" xfId="0" applyFont="1" applyProtection="1">
      <protection locked="0"/>
    </xf>
    <xf numFmtId="9" fontId="17" fillId="0" borderId="1" xfId="0" applyNumberFormat="1" applyFont="1" applyBorder="1" applyProtection="1">
      <protection locked="0"/>
    </xf>
    <xf numFmtId="0" fontId="18" fillId="12" borderId="1" xfId="0" applyFont="1" applyFill="1" applyBorder="1" applyProtection="1">
      <protection locked="0"/>
    </xf>
    <xf numFmtId="0" fontId="18" fillId="21" borderId="0" xfId="0" applyFont="1" applyFill="1" applyProtection="1">
      <protection locked="0"/>
    </xf>
    <xf numFmtId="0" fontId="19" fillId="0" borderId="1" xfId="0" applyFont="1" applyFill="1" applyBorder="1" applyProtection="1">
      <protection locked="0"/>
    </xf>
    <xf numFmtId="44" fontId="19" fillId="0" borderId="1" xfId="4" applyFont="1" applyFill="1" applyBorder="1" applyProtection="1">
      <protection locked="0"/>
    </xf>
    <xf numFmtId="44" fontId="18" fillId="12" borderId="1" xfId="4" applyFont="1" applyFill="1" applyBorder="1" applyProtection="1"/>
    <xf numFmtId="9" fontId="18" fillId="12" borderId="1" xfId="0" applyNumberFormat="1" applyFont="1" applyFill="1" applyBorder="1" applyProtection="1"/>
    <xf numFmtId="0" fontId="3" fillId="0" borderId="0" xfId="0" applyFont="1" applyFill="1"/>
    <xf numFmtId="0" fontId="21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/>
    </xf>
    <xf numFmtId="164" fontId="3" fillId="0" borderId="1" xfId="0" applyNumberFormat="1" applyFont="1" applyFill="1" applyBorder="1" applyAlignment="1">
      <alignment horizontal="right" vertical="top"/>
    </xf>
    <xf numFmtId="14" fontId="3" fillId="0" borderId="1" xfId="0" applyNumberFormat="1" applyFont="1" applyFill="1" applyBorder="1"/>
    <xf numFmtId="164" fontId="3" fillId="0" borderId="1" xfId="0" applyNumberFormat="1" applyFont="1" applyFill="1" applyBorder="1"/>
    <xf numFmtId="0" fontId="21" fillId="0" borderId="0" xfId="0" applyFont="1" applyFill="1"/>
    <xf numFmtId="0" fontId="1" fillId="12" borderId="1" xfId="0" applyFont="1" applyFill="1" applyBorder="1" applyAlignment="1">
      <alignment horizontal="center" vertical="center"/>
    </xf>
    <xf numFmtId="166" fontId="1" fillId="22" borderId="1" xfId="0" applyNumberFormat="1" applyFont="1" applyFill="1" applyBorder="1" applyAlignment="1">
      <alignment horizontal="center" vertical="center"/>
    </xf>
    <xf numFmtId="14" fontId="3" fillId="12" borderId="1" xfId="0" applyNumberFormat="1" applyFont="1" applyFill="1" applyBorder="1"/>
    <xf numFmtId="170" fontId="22" fillId="13" borderId="1" xfId="0" applyNumberFormat="1" applyFont="1" applyFill="1" applyBorder="1"/>
    <xf numFmtId="0" fontId="22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/>
    </xf>
    <xf numFmtId="170" fontId="12" fillId="0" borderId="1" xfId="0" applyNumberFormat="1" applyFont="1" applyBorder="1"/>
    <xf numFmtId="0" fontId="13" fillId="18" borderId="1" xfId="0" applyFont="1" applyFill="1" applyBorder="1" applyAlignment="1">
      <alignment horizontal="center"/>
    </xf>
    <xf numFmtId="0" fontId="23" fillId="0" borderId="0" xfId="0" applyFont="1"/>
    <xf numFmtId="166" fontId="1" fillId="19" borderId="1" xfId="0" applyNumberFormat="1" applyFont="1" applyFill="1" applyBorder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9" fontId="3" fillId="0" borderId="0" xfId="0" applyNumberFormat="1" applyFont="1" applyFill="1"/>
    <xf numFmtId="166" fontId="1" fillId="18" borderId="1" xfId="0" applyNumberFormat="1" applyFont="1" applyFill="1" applyBorder="1" applyAlignment="1">
      <alignment horizontal="center" vertical="center"/>
    </xf>
    <xf numFmtId="166" fontId="1" fillId="23" borderId="1" xfId="0" applyNumberFormat="1" applyFont="1" applyFill="1" applyBorder="1" applyAlignment="1">
      <alignment horizontal="center" vertical="center"/>
    </xf>
    <xf numFmtId="164" fontId="9" fillId="17" borderId="2" xfId="0" applyNumberFormat="1" applyFont="1" applyFill="1" applyBorder="1" applyAlignment="1">
      <alignment horizontal="center" vertical="center"/>
    </xf>
    <xf numFmtId="0" fontId="20" fillId="0" borderId="9" xfId="0" applyFont="1" applyFill="1" applyBorder="1" applyAlignment="1" applyProtection="1">
      <alignment horizontal="center"/>
      <protection locked="0"/>
    </xf>
    <xf numFmtId="0" fontId="13" fillId="18" borderId="1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18" borderId="7" xfId="0" applyFont="1" applyFill="1" applyBorder="1" applyAlignment="1">
      <alignment horizontal="center"/>
    </xf>
    <xf numFmtId="0" fontId="13" fillId="18" borderId="8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169" fontId="13" fillId="20" borderId="10" xfId="4" applyNumberFormat="1" applyFont="1" applyFill="1" applyBorder="1" applyAlignment="1">
      <alignment horizontal="center"/>
    </xf>
    <xf numFmtId="169" fontId="13" fillId="20" borderId="11" xfId="4" applyNumberFormat="1" applyFont="1" applyFill="1" applyBorder="1" applyAlignment="1">
      <alignment horizontal="center"/>
    </xf>
  </cellXfs>
  <cellStyles count="5">
    <cellStyle name="Millares 2" xfId="3" xr:uid="{4D0EC9AE-4342-456D-B9DB-74CB1208F25A}"/>
    <cellStyle name="Moneda" xfId="4" builtinId="4"/>
    <cellStyle name="Moneda 2" xfId="2" xr:uid="{64B1BA7A-41E2-47F9-8382-D6A238E928AF}"/>
    <cellStyle name="Normal" xfId="0" builtinId="0"/>
    <cellStyle name="Normal 2" xfId="1" xr:uid="{3A5D96B7-5B77-4C95-B758-5CB30A16319A}"/>
  </cellStyles>
  <dxfs count="4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33FF"/>
      <color rgb="FF609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2921-3C88-4305-B420-E819C8736A5E}">
  <dimension ref="A1:J641"/>
  <sheetViews>
    <sheetView showGridLines="0" workbookViewId="0">
      <pane ySplit="1" topLeftCell="A2" activePane="bottomLeft" state="frozen"/>
      <selection activeCell="G408" sqref="G408"/>
      <selection pane="bottomLeft" sqref="A1:H1048576"/>
    </sheetView>
  </sheetViews>
  <sheetFormatPr baseColWidth="10" defaultRowHeight="12.75" x14ac:dyDescent="0.25"/>
  <cols>
    <col min="1" max="1" width="17.140625" style="14" bestFit="1" customWidth="1"/>
    <col min="2" max="2" width="16.7109375" style="14" bestFit="1" customWidth="1"/>
    <col min="3" max="3" width="14.28515625" style="14" bestFit="1" customWidth="1"/>
    <col min="4" max="4" width="18.28515625" style="14" bestFit="1" customWidth="1"/>
    <col min="5" max="5" width="13.85546875" style="5" bestFit="1" customWidth="1"/>
    <col min="6" max="6" width="18.140625" style="14" bestFit="1" customWidth="1"/>
    <col min="7" max="7" width="11.5703125" style="14" bestFit="1" customWidth="1"/>
    <col min="8" max="8" width="15.85546875" style="14" bestFit="1" customWidth="1"/>
    <col min="9" max="9" width="14.42578125" style="14" bestFit="1" customWidth="1"/>
    <col min="10" max="16384" width="11.42578125" style="14"/>
  </cols>
  <sheetData>
    <row r="1" spans="1:10" x14ac:dyDescent="0.25">
      <c r="A1" s="8" t="s">
        <v>26</v>
      </c>
      <c r="B1" s="33" t="s">
        <v>27</v>
      </c>
      <c r="C1" s="8" t="s">
        <v>28</v>
      </c>
      <c r="D1" s="8" t="s">
        <v>29</v>
      </c>
      <c r="E1" s="34" t="s">
        <v>20</v>
      </c>
      <c r="F1" s="8" t="s">
        <v>30</v>
      </c>
      <c r="G1" s="8" t="s">
        <v>31</v>
      </c>
      <c r="H1" s="33" t="s">
        <v>27</v>
      </c>
    </row>
    <row r="2" spans="1:10" ht="15" x14ac:dyDescent="0.25">
      <c r="A2" s="35" t="s">
        <v>32</v>
      </c>
      <c r="B2" s="35" t="s">
        <v>33</v>
      </c>
      <c r="C2" s="35" t="s">
        <v>34</v>
      </c>
      <c r="D2" s="36">
        <v>45803</v>
      </c>
      <c r="E2" s="37">
        <v>21514248</v>
      </c>
      <c r="F2" s="35" t="s">
        <v>13</v>
      </c>
      <c r="G2" s="36">
        <v>45838</v>
      </c>
      <c r="H2" s="35" t="s">
        <v>25</v>
      </c>
    </row>
    <row r="3" spans="1:10" x14ac:dyDescent="0.25">
      <c r="A3" s="35" t="s">
        <v>32</v>
      </c>
      <c r="B3" s="35" t="s">
        <v>33</v>
      </c>
      <c r="C3" s="35" t="s">
        <v>34</v>
      </c>
      <c r="D3" s="36">
        <v>45805</v>
      </c>
      <c r="E3" s="37">
        <v>12719832</v>
      </c>
      <c r="F3" s="35" t="s">
        <v>13</v>
      </c>
      <c r="G3" s="36">
        <v>45838</v>
      </c>
      <c r="H3" s="35" t="s">
        <v>25</v>
      </c>
    </row>
    <row r="4" spans="1:10" x14ac:dyDescent="0.25">
      <c r="A4" s="35" t="s">
        <v>32</v>
      </c>
      <c r="B4" s="35" t="s">
        <v>33</v>
      </c>
      <c r="C4" s="35" t="s">
        <v>34</v>
      </c>
      <c r="D4" s="36">
        <v>45806</v>
      </c>
      <c r="E4" s="37">
        <v>2857930</v>
      </c>
      <c r="F4" s="35" t="s">
        <v>13</v>
      </c>
      <c r="G4" s="36">
        <v>45838</v>
      </c>
      <c r="H4" s="35" t="s">
        <v>25</v>
      </c>
    </row>
    <row r="5" spans="1:10" x14ac:dyDescent="0.25">
      <c r="A5" s="35" t="s">
        <v>32</v>
      </c>
      <c r="B5" s="35" t="s">
        <v>33</v>
      </c>
      <c r="C5" s="35" t="s">
        <v>35</v>
      </c>
      <c r="D5" s="36">
        <v>45809</v>
      </c>
      <c r="E5" s="37">
        <v>995740</v>
      </c>
      <c r="F5" s="35" t="s">
        <v>13</v>
      </c>
      <c r="G5" s="36">
        <v>45838</v>
      </c>
      <c r="H5" s="35" t="s">
        <v>25</v>
      </c>
    </row>
    <row r="6" spans="1:10" x14ac:dyDescent="0.25">
      <c r="A6" s="35" t="s">
        <v>32</v>
      </c>
      <c r="B6" s="35" t="s">
        <v>33</v>
      </c>
      <c r="C6" s="35" t="s">
        <v>35</v>
      </c>
      <c r="D6" s="36">
        <v>45810</v>
      </c>
      <c r="E6" s="37">
        <v>658260</v>
      </c>
      <c r="F6" s="35" t="s">
        <v>13</v>
      </c>
      <c r="G6" s="36">
        <v>45838</v>
      </c>
      <c r="H6" s="35" t="s">
        <v>25</v>
      </c>
    </row>
    <row r="7" spans="1:10" x14ac:dyDescent="0.25">
      <c r="A7" s="35" t="s">
        <v>36</v>
      </c>
      <c r="B7" s="35" t="s">
        <v>33</v>
      </c>
      <c r="C7" s="35" t="s">
        <v>37</v>
      </c>
      <c r="D7" s="36">
        <v>45811</v>
      </c>
      <c r="E7" s="12">
        <v>3902010</v>
      </c>
      <c r="F7" s="35"/>
      <c r="G7" s="35"/>
      <c r="H7" s="35" t="s">
        <v>25</v>
      </c>
    </row>
    <row r="8" spans="1:10" x14ac:dyDescent="0.25">
      <c r="A8" s="35" t="s">
        <v>36</v>
      </c>
      <c r="B8" s="35" t="s">
        <v>33</v>
      </c>
      <c r="C8" s="35" t="s">
        <v>37</v>
      </c>
      <c r="D8" s="36">
        <v>45811</v>
      </c>
      <c r="E8" s="12">
        <v>621180</v>
      </c>
      <c r="F8" s="35"/>
      <c r="G8" s="35"/>
      <c r="H8" s="35" t="s">
        <v>25</v>
      </c>
    </row>
    <row r="9" spans="1:10" x14ac:dyDescent="0.25">
      <c r="A9" s="35" t="s">
        <v>32</v>
      </c>
      <c r="B9" s="35" t="s">
        <v>33</v>
      </c>
      <c r="C9" s="35" t="s">
        <v>35</v>
      </c>
      <c r="D9" s="36">
        <v>45812</v>
      </c>
      <c r="E9" s="37">
        <v>100500</v>
      </c>
      <c r="F9" s="35" t="s">
        <v>13</v>
      </c>
      <c r="G9" s="36">
        <v>45838</v>
      </c>
      <c r="H9" s="35" t="s">
        <v>25</v>
      </c>
    </row>
    <row r="10" spans="1:10" x14ac:dyDescent="0.25">
      <c r="A10" s="35" t="s">
        <v>32</v>
      </c>
      <c r="B10" s="35" t="s">
        <v>33</v>
      </c>
      <c r="C10" s="35" t="s">
        <v>35</v>
      </c>
      <c r="D10" s="36">
        <v>45813</v>
      </c>
      <c r="E10" s="37">
        <v>429773.99</v>
      </c>
      <c r="F10" s="35" t="s">
        <v>13</v>
      </c>
      <c r="G10" s="36">
        <v>45838</v>
      </c>
      <c r="H10" s="35" t="s">
        <v>25</v>
      </c>
    </row>
    <row r="11" spans="1:10" x14ac:dyDescent="0.25">
      <c r="A11" s="35" t="s">
        <v>32</v>
      </c>
      <c r="B11" s="35" t="s">
        <v>33</v>
      </c>
      <c r="C11" s="35" t="s">
        <v>35</v>
      </c>
      <c r="D11" s="36">
        <v>45814</v>
      </c>
      <c r="E11" s="37">
        <v>395100</v>
      </c>
      <c r="F11" s="35" t="s">
        <v>13</v>
      </c>
      <c r="G11" s="36">
        <v>45838</v>
      </c>
      <c r="H11" s="35" t="s">
        <v>25</v>
      </c>
    </row>
    <row r="12" spans="1:10" x14ac:dyDescent="0.25">
      <c r="A12" s="35" t="s">
        <v>32</v>
      </c>
      <c r="B12" s="35" t="s">
        <v>33</v>
      </c>
      <c r="C12" s="35" t="s">
        <v>35</v>
      </c>
      <c r="D12" s="36">
        <v>45815</v>
      </c>
      <c r="E12" s="37">
        <v>511984</v>
      </c>
      <c r="F12" s="35" t="s">
        <v>13</v>
      </c>
      <c r="G12" s="36">
        <v>45838</v>
      </c>
      <c r="H12" s="35" t="s">
        <v>25</v>
      </c>
    </row>
    <row r="13" spans="1:10" x14ac:dyDescent="0.25">
      <c r="A13" s="35" t="s">
        <v>32</v>
      </c>
      <c r="B13" s="35" t="s">
        <v>33</v>
      </c>
      <c r="C13" s="35" t="s">
        <v>35</v>
      </c>
      <c r="D13" s="36">
        <v>45816</v>
      </c>
      <c r="E13" s="37">
        <v>359140</v>
      </c>
      <c r="F13" s="35" t="s">
        <v>13</v>
      </c>
      <c r="G13" s="36">
        <v>45838</v>
      </c>
      <c r="H13" s="35" t="s">
        <v>25</v>
      </c>
    </row>
    <row r="14" spans="1:10" x14ac:dyDescent="0.25">
      <c r="A14" s="35" t="s">
        <v>32</v>
      </c>
      <c r="B14" s="35" t="s">
        <v>33</v>
      </c>
      <c r="C14" s="35" t="s">
        <v>35</v>
      </c>
      <c r="D14" s="36">
        <v>45817</v>
      </c>
      <c r="E14" s="37">
        <v>1506250</v>
      </c>
      <c r="F14" s="35" t="s">
        <v>13</v>
      </c>
      <c r="G14" s="36">
        <v>45838</v>
      </c>
      <c r="H14" s="35" t="s">
        <v>25</v>
      </c>
    </row>
    <row r="15" spans="1:10" x14ac:dyDescent="0.25">
      <c r="A15" s="35" t="s">
        <v>32</v>
      </c>
      <c r="B15" s="35" t="s">
        <v>33</v>
      </c>
      <c r="C15" s="35" t="s">
        <v>35</v>
      </c>
      <c r="D15" s="36">
        <v>45818</v>
      </c>
      <c r="E15" s="37">
        <v>180000</v>
      </c>
      <c r="F15" s="35" t="s">
        <v>13</v>
      </c>
      <c r="G15" s="36">
        <v>45838</v>
      </c>
      <c r="H15" s="35" t="s">
        <v>25</v>
      </c>
      <c r="J15" s="5"/>
    </row>
    <row r="16" spans="1:10" x14ac:dyDescent="0.25">
      <c r="A16" s="35" t="s">
        <v>32</v>
      </c>
      <c r="B16" s="35" t="s">
        <v>33</v>
      </c>
      <c r="C16" s="35" t="s">
        <v>35</v>
      </c>
      <c r="D16" s="36">
        <v>45819</v>
      </c>
      <c r="E16" s="37">
        <f>1582100</f>
        <v>1582100</v>
      </c>
      <c r="F16" s="35" t="s">
        <v>13</v>
      </c>
      <c r="G16" s="36">
        <v>45838</v>
      </c>
      <c r="H16" s="35" t="s">
        <v>25</v>
      </c>
    </row>
    <row r="17" spans="1:8" x14ac:dyDescent="0.25">
      <c r="A17" s="35" t="s">
        <v>32</v>
      </c>
      <c r="B17" s="35" t="s">
        <v>33</v>
      </c>
      <c r="C17" s="35" t="s">
        <v>35</v>
      </c>
      <c r="D17" s="36">
        <v>45820</v>
      </c>
      <c r="E17" s="37">
        <v>173400</v>
      </c>
      <c r="F17" s="35" t="s">
        <v>13</v>
      </c>
      <c r="G17" s="36">
        <v>45838</v>
      </c>
      <c r="H17" s="35" t="s">
        <v>25</v>
      </c>
    </row>
    <row r="18" spans="1:8" x14ac:dyDescent="0.25">
      <c r="A18" s="35" t="s">
        <v>32</v>
      </c>
      <c r="B18" s="35" t="s">
        <v>33</v>
      </c>
      <c r="C18" s="35" t="s">
        <v>35</v>
      </c>
      <c r="D18" s="36">
        <v>45821</v>
      </c>
      <c r="E18" s="37">
        <v>924000</v>
      </c>
      <c r="F18" s="35" t="s">
        <v>13</v>
      </c>
      <c r="G18" s="36">
        <v>45838</v>
      </c>
      <c r="H18" s="35" t="s">
        <v>25</v>
      </c>
    </row>
    <row r="19" spans="1:8" x14ac:dyDescent="0.25">
      <c r="A19" s="35" t="s">
        <v>32</v>
      </c>
      <c r="B19" s="35" t="s">
        <v>33</v>
      </c>
      <c r="C19" s="35" t="s">
        <v>35</v>
      </c>
      <c r="D19" s="36">
        <v>45822</v>
      </c>
      <c r="E19" s="37">
        <v>345174</v>
      </c>
      <c r="F19" s="35" t="s">
        <v>13</v>
      </c>
      <c r="G19" s="36">
        <v>45838</v>
      </c>
      <c r="H19" s="35" t="s">
        <v>25</v>
      </c>
    </row>
    <row r="20" spans="1:8" x14ac:dyDescent="0.25">
      <c r="A20" s="35" t="s">
        <v>32</v>
      </c>
      <c r="B20" s="35" t="s">
        <v>33</v>
      </c>
      <c r="C20" s="35" t="s">
        <v>35</v>
      </c>
      <c r="D20" s="36">
        <v>45823</v>
      </c>
      <c r="E20" s="37">
        <v>941037</v>
      </c>
      <c r="F20" s="35" t="s">
        <v>13</v>
      </c>
      <c r="G20" s="36">
        <v>45838</v>
      </c>
      <c r="H20" s="35" t="s">
        <v>25</v>
      </c>
    </row>
    <row r="21" spans="1:8" x14ac:dyDescent="0.25">
      <c r="A21" s="35" t="s">
        <v>32</v>
      </c>
      <c r="B21" s="35" t="s">
        <v>33</v>
      </c>
      <c r="C21" s="35" t="s">
        <v>35</v>
      </c>
      <c r="D21" s="36">
        <v>45824</v>
      </c>
      <c r="E21" s="37">
        <v>1829100</v>
      </c>
      <c r="F21" s="35" t="s">
        <v>13</v>
      </c>
      <c r="G21" s="36">
        <v>45838</v>
      </c>
      <c r="H21" s="35" t="s">
        <v>25</v>
      </c>
    </row>
    <row r="22" spans="1:8" x14ac:dyDescent="0.25">
      <c r="A22" s="35" t="s">
        <v>32</v>
      </c>
      <c r="B22" s="35" t="s">
        <v>33</v>
      </c>
      <c r="C22" s="35" t="s">
        <v>35</v>
      </c>
      <c r="D22" s="36">
        <v>45826</v>
      </c>
      <c r="E22" s="37">
        <v>1694647</v>
      </c>
      <c r="F22" s="35" t="s">
        <v>13</v>
      </c>
      <c r="G22" s="36">
        <v>45838</v>
      </c>
      <c r="H22" s="35" t="s">
        <v>25</v>
      </c>
    </row>
    <row r="23" spans="1:8" x14ac:dyDescent="0.25">
      <c r="A23" s="35" t="s">
        <v>32</v>
      </c>
      <c r="B23" s="35" t="s">
        <v>33</v>
      </c>
      <c r="C23" s="35" t="s">
        <v>35</v>
      </c>
      <c r="D23" s="36">
        <v>45827</v>
      </c>
      <c r="E23" s="37">
        <v>152400</v>
      </c>
      <c r="F23" s="35" t="s">
        <v>13</v>
      </c>
      <c r="G23" s="36">
        <v>45838</v>
      </c>
      <c r="H23" s="35" t="s">
        <v>25</v>
      </c>
    </row>
    <row r="24" spans="1:8" x14ac:dyDescent="0.25">
      <c r="A24" s="35" t="s">
        <v>32</v>
      </c>
      <c r="B24" s="35" t="s">
        <v>33</v>
      </c>
      <c r="C24" s="35" t="s">
        <v>35</v>
      </c>
      <c r="D24" s="36">
        <v>45828</v>
      </c>
      <c r="E24" s="37">
        <v>2381900</v>
      </c>
      <c r="F24" s="35" t="s">
        <v>13</v>
      </c>
      <c r="G24" s="36">
        <v>45838</v>
      </c>
      <c r="H24" s="35" t="s">
        <v>25</v>
      </c>
    </row>
    <row r="25" spans="1:8" x14ac:dyDescent="0.25">
      <c r="A25" s="35" t="s">
        <v>32</v>
      </c>
      <c r="B25" s="35" t="s">
        <v>33</v>
      </c>
      <c r="C25" s="35" t="s">
        <v>35</v>
      </c>
      <c r="D25" s="36">
        <v>45829</v>
      </c>
      <c r="E25" s="37">
        <v>798800</v>
      </c>
      <c r="F25" s="35" t="s">
        <v>13</v>
      </c>
      <c r="G25" s="36">
        <v>45838</v>
      </c>
      <c r="H25" s="35" t="s">
        <v>25</v>
      </c>
    </row>
    <row r="26" spans="1:8" x14ac:dyDescent="0.25">
      <c r="A26" s="35" t="s">
        <v>32</v>
      </c>
      <c r="B26" s="35" t="s">
        <v>33</v>
      </c>
      <c r="C26" s="35" t="s">
        <v>35</v>
      </c>
      <c r="D26" s="36">
        <v>45830</v>
      </c>
      <c r="E26" s="37">
        <v>307900</v>
      </c>
      <c r="F26" s="35" t="s">
        <v>13</v>
      </c>
      <c r="G26" s="36">
        <v>45838</v>
      </c>
      <c r="H26" s="35" t="s">
        <v>25</v>
      </c>
    </row>
    <row r="27" spans="1:8" x14ac:dyDescent="0.25">
      <c r="A27" s="35" t="s">
        <v>32</v>
      </c>
      <c r="B27" s="35" t="s">
        <v>33</v>
      </c>
      <c r="C27" s="35" t="s">
        <v>35</v>
      </c>
      <c r="D27" s="36">
        <v>45833</v>
      </c>
      <c r="E27" s="37">
        <v>1969800</v>
      </c>
      <c r="F27" s="35" t="s">
        <v>13</v>
      </c>
      <c r="G27" s="36">
        <v>45838</v>
      </c>
      <c r="H27" s="35" t="s">
        <v>25</v>
      </c>
    </row>
    <row r="28" spans="1:8" x14ac:dyDescent="0.25">
      <c r="A28" s="35" t="s">
        <v>32</v>
      </c>
      <c r="B28" s="35" t="s">
        <v>33</v>
      </c>
      <c r="C28" s="35" t="s">
        <v>35</v>
      </c>
      <c r="D28" s="36">
        <v>45834</v>
      </c>
      <c r="E28" s="37">
        <v>402600</v>
      </c>
      <c r="F28" s="35" t="s">
        <v>13</v>
      </c>
      <c r="G28" s="36">
        <v>45838</v>
      </c>
      <c r="H28" s="35" t="s">
        <v>25</v>
      </c>
    </row>
    <row r="29" spans="1:8" x14ac:dyDescent="0.25">
      <c r="A29" s="35" t="s">
        <v>32</v>
      </c>
      <c r="B29" s="35" t="s">
        <v>33</v>
      </c>
      <c r="C29" s="35" t="s">
        <v>35</v>
      </c>
      <c r="D29" s="36">
        <v>45835</v>
      </c>
      <c r="E29" s="37">
        <v>846500</v>
      </c>
      <c r="F29" s="35" t="s">
        <v>13</v>
      </c>
      <c r="G29" s="36">
        <v>45838</v>
      </c>
      <c r="H29" s="35" t="s">
        <v>25</v>
      </c>
    </row>
    <row r="30" spans="1:8" x14ac:dyDescent="0.25">
      <c r="A30" s="35" t="s">
        <v>32</v>
      </c>
      <c r="B30" s="35" t="s">
        <v>33</v>
      </c>
      <c r="C30" s="35" t="s">
        <v>35</v>
      </c>
      <c r="D30" s="36">
        <v>45836</v>
      </c>
      <c r="E30" s="37">
        <v>1166200</v>
      </c>
      <c r="F30" s="35" t="s">
        <v>13</v>
      </c>
      <c r="G30" s="36">
        <v>45838</v>
      </c>
      <c r="H30" s="35" t="s">
        <v>25</v>
      </c>
    </row>
    <row r="31" spans="1:8" x14ac:dyDescent="0.25">
      <c r="A31" s="35" t="s">
        <v>32</v>
      </c>
      <c r="B31" s="35" t="s">
        <v>33</v>
      </c>
      <c r="C31" s="35" t="s">
        <v>35</v>
      </c>
      <c r="D31" s="36">
        <v>45838</v>
      </c>
      <c r="E31" s="37">
        <v>551300</v>
      </c>
      <c r="F31" s="35" t="s">
        <v>13</v>
      </c>
      <c r="G31" s="36">
        <v>45838</v>
      </c>
      <c r="H31" s="35" t="s">
        <v>25</v>
      </c>
    </row>
    <row r="32" spans="1:8" x14ac:dyDescent="0.25">
      <c r="A32" s="35" t="s">
        <v>32</v>
      </c>
      <c r="B32" s="35" t="s">
        <v>33</v>
      </c>
      <c r="C32" s="35" t="s">
        <v>37</v>
      </c>
      <c r="D32" s="36">
        <v>45841</v>
      </c>
      <c r="E32" s="38">
        <v>1516900</v>
      </c>
      <c r="F32" s="39" t="s">
        <v>13</v>
      </c>
      <c r="G32" s="40">
        <v>45850</v>
      </c>
      <c r="H32" s="35" t="s">
        <v>25</v>
      </c>
    </row>
    <row r="33" spans="1:8" x14ac:dyDescent="0.25">
      <c r="A33" s="35" t="s">
        <v>32</v>
      </c>
      <c r="B33" s="35" t="s">
        <v>33</v>
      </c>
      <c r="C33" s="35" t="s">
        <v>37</v>
      </c>
      <c r="D33" s="36">
        <v>45842</v>
      </c>
      <c r="E33" s="38">
        <v>1149600</v>
      </c>
      <c r="F33" s="39" t="s">
        <v>13</v>
      </c>
      <c r="G33" s="40">
        <v>45850</v>
      </c>
      <c r="H33" s="35" t="s">
        <v>25</v>
      </c>
    </row>
    <row r="34" spans="1:8" x14ac:dyDescent="0.25">
      <c r="A34" s="35" t="s">
        <v>32</v>
      </c>
      <c r="B34" s="35" t="s">
        <v>33</v>
      </c>
      <c r="C34" s="35" t="s">
        <v>37</v>
      </c>
      <c r="D34" s="36">
        <v>45843</v>
      </c>
      <c r="E34" s="38">
        <v>631300</v>
      </c>
      <c r="F34" s="39" t="s">
        <v>13</v>
      </c>
      <c r="G34" s="40">
        <v>45850</v>
      </c>
      <c r="H34" s="35" t="s">
        <v>25</v>
      </c>
    </row>
    <row r="35" spans="1:8" x14ac:dyDescent="0.25">
      <c r="A35" s="35" t="s">
        <v>32</v>
      </c>
      <c r="B35" s="35" t="s">
        <v>33</v>
      </c>
      <c r="C35" s="35" t="s">
        <v>37</v>
      </c>
      <c r="D35" s="36">
        <v>45844</v>
      </c>
      <c r="E35" s="38">
        <v>312600</v>
      </c>
      <c r="F35" s="39" t="s">
        <v>13</v>
      </c>
      <c r="G35" s="40">
        <v>45850</v>
      </c>
      <c r="H35" s="35" t="s">
        <v>25</v>
      </c>
    </row>
    <row r="36" spans="1:8" x14ac:dyDescent="0.25">
      <c r="A36" s="35" t="s">
        <v>32</v>
      </c>
      <c r="B36" s="35" t="s">
        <v>33</v>
      </c>
      <c r="C36" s="35" t="s">
        <v>37</v>
      </c>
      <c r="D36" s="36">
        <v>45845</v>
      </c>
      <c r="E36" s="38">
        <v>519080</v>
      </c>
      <c r="F36" s="39" t="s">
        <v>13</v>
      </c>
      <c r="G36" s="40">
        <v>45850</v>
      </c>
      <c r="H36" s="35" t="s">
        <v>25</v>
      </c>
    </row>
    <row r="37" spans="1:8" x14ac:dyDescent="0.25">
      <c r="A37" s="35" t="s">
        <v>32</v>
      </c>
      <c r="B37" s="35" t="s">
        <v>33</v>
      </c>
      <c r="C37" s="35" t="s">
        <v>37</v>
      </c>
      <c r="D37" s="36">
        <v>45847</v>
      </c>
      <c r="E37" s="38">
        <v>989260</v>
      </c>
      <c r="F37" s="39" t="s">
        <v>13</v>
      </c>
      <c r="G37" s="40">
        <v>45850</v>
      </c>
      <c r="H37" s="35" t="s">
        <v>25</v>
      </c>
    </row>
    <row r="38" spans="1:8" x14ac:dyDescent="0.25">
      <c r="A38" s="35" t="s">
        <v>32</v>
      </c>
      <c r="B38" s="35" t="s">
        <v>33</v>
      </c>
      <c r="C38" s="35" t="s">
        <v>37</v>
      </c>
      <c r="D38" s="36">
        <v>45848</v>
      </c>
      <c r="E38" s="38">
        <v>420150</v>
      </c>
      <c r="F38" s="39" t="s">
        <v>13</v>
      </c>
      <c r="G38" s="40">
        <v>45850</v>
      </c>
      <c r="H38" s="35" t="s">
        <v>25</v>
      </c>
    </row>
    <row r="39" spans="1:8" x14ac:dyDescent="0.25">
      <c r="A39" s="35" t="s">
        <v>32</v>
      </c>
      <c r="B39" s="35" t="s">
        <v>33</v>
      </c>
      <c r="C39" s="35" t="s">
        <v>37</v>
      </c>
      <c r="D39" s="36">
        <v>45849</v>
      </c>
      <c r="E39" s="38">
        <v>1605500</v>
      </c>
      <c r="F39" s="39" t="s">
        <v>13</v>
      </c>
      <c r="G39" s="40">
        <v>45850</v>
      </c>
      <c r="H39" s="35" t="s">
        <v>25</v>
      </c>
    </row>
    <row r="40" spans="1:8" x14ac:dyDescent="0.25">
      <c r="A40" s="35" t="s">
        <v>32</v>
      </c>
      <c r="B40" s="35" t="s">
        <v>33</v>
      </c>
      <c r="C40" s="35" t="s">
        <v>37</v>
      </c>
      <c r="D40" s="36">
        <v>45850</v>
      </c>
      <c r="E40" s="38">
        <v>667800</v>
      </c>
      <c r="F40" s="39" t="s">
        <v>13</v>
      </c>
      <c r="G40" s="40">
        <v>45850</v>
      </c>
      <c r="H40" s="35" t="s">
        <v>25</v>
      </c>
    </row>
    <row r="41" spans="1:8" x14ac:dyDescent="0.25">
      <c r="A41" s="35" t="s">
        <v>32</v>
      </c>
      <c r="B41" s="35" t="s">
        <v>33</v>
      </c>
      <c r="C41" s="35" t="s">
        <v>37</v>
      </c>
      <c r="D41" s="36">
        <v>45851</v>
      </c>
      <c r="E41" s="38">
        <v>732250</v>
      </c>
      <c r="F41" s="39" t="s">
        <v>13</v>
      </c>
      <c r="G41" s="40">
        <v>45850</v>
      </c>
      <c r="H41" s="35" t="s">
        <v>25</v>
      </c>
    </row>
    <row r="42" spans="1:8" x14ac:dyDescent="0.25">
      <c r="A42" s="35" t="s">
        <v>32</v>
      </c>
      <c r="B42" s="35" t="s">
        <v>33</v>
      </c>
      <c r="C42" s="35" t="s">
        <v>37</v>
      </c>
      <c r="D42" s="36">
        <v>45854</v>
      </c>
      <c r="E42" s="38">
        <v>836250</v>
      </c>
      <c r="F42" s="39" t="s">
        <v>13</v>
      </c>
      <c r="G42" s="40">
        <v>45850</v>
      </c>
      <c r="H42" s="35" t="s">
        <v>25</v>
      </c>
    </row>
    <row r="43" spans="1:8" x14ac:dyDescent="0.25">
      <c r="A43" s="35" t="s">
        <v>32</v>
      </c>
      <c r="B43" s="35" t="s">
        <v>33</v>
      </c>
      <c r="C43" s="35" t="s">
        <v>37</v>
      </c>
      <c r="D43" s="36">
        <v>45856</v>
      </c>
      <c r="E43" s="38">
        <v>822880</v>
      </c>
      <c r="F43" s="39" t="s">
        <v>13</v>
      </c>
      <c r="G43" s="40">
        <v>45850</v>
      </c>
      <c r="H43" s="35" t="s">
        <v>25</v>
      </c>
    </row>
    <row r="44" spans="1:8" x14ac:dyDescent="0.25">
      <c r="A44" s="35" t="s">
        <v>32</v>
      </c>
      <c r="B44" s="35" t="s">
        <v>33</v>
      </c>
      <c r="C44" s="35" t="s">
        <v>37</v>
      </c>
      <c r="D44" s="36">
        <v>45857</v>
      </c>
      <c r="E44" s="38">
        <v>875200</v>
      </c>
      <c r="F44" s="39" t="s">
        <v>13</v>
      </c>
      <c r="G44" s="40">
        <v>45850</v>
      </c>
      <c r="H44" s="35" t="s">
        <v>25</v>
      </c>
    </row>
    <row r="45" spans="1:8" x14ac:dyDescent="0.25">
      <c r="A45" s="35" t="s">
        <v>32</v>
      </c>
      <c r="B45" s="35" t="s">
        <v>33</v>
      </c>
      <c r="C45" s="35" t="s">
        <v>37</v>
      </c>
      <c r="D45" s="36">
        <v>45858</v>
      </c>
      <c r="E45" s="38">
        <v>548550</v>
      </c>
      <c r="F45" s="39" t="s">
        <v>13</v>
      </c>
      <c r="G45" s="40">
        <v>45850</v>
      </c>
      <c r="H45" s="35" t="s">
        <v>25</v>
      </c>
    </row>
    <row r="46" spans="1:8" x14ac:dyDescent="0.25">
      <c r="A46" s="35" t="s">
        <v>32</v>
      </c>
      <c r="B46" s="35" t="s">
        <v>33</v>
      </c>
      <c r="C46" s="35" t="s">
        <v>37</v>
      </c>
      <c r="D46" s="36">
        <v>45859</v>
      </c>
      <c r="E46" s="38">
        <v>188300</v>
      </c>
      <c r="F46" s="39" t="s">
        <v>13</v>
      </c>
      <c r="G46" s="40">
        <v>45850</v>
      </c>
      <c r="H46" s="35" t="s">
        <v>25</v>
      </c>
    </row>
    <row r="47" spans="1:8" x14ac:dyDescent="0.25">
      <c r="A47" s="35" t="s">
        <v>32</v>
      </c>
      <c r="B47" s="35" t="s">
        <v>33</v>
      </c>
      <c r="C47" s="35" t="s">
        <v>37</v>
      </c>
      <c r="D47" s="36">
        <v>45863</v>
      </c>
      <c r="E47" s="38">
        <v>1108340</v>
      </c>
      <c r="F47" s="39" t="s">
        <v>13</v>
      </c>
      <c r="G47" s="40">
        <v>45850</v>
      </c>
      <c r="H47" s="35" t="s">
        <v>25</v>
      </c>
    </row>
    <row r="48" spans="1:8" x14ac:dyDescent="0.25">
      <c r="A48" s="35" t="s">
        <v>32</v>
      </c>
      <c r="B48" s="35" t="s">
        <v>33</v>
      </c>
      <c r="C48" s="35" t="s">
        <v>37</v>
      </c>
      <c r="D48" s="36">
        <v>45865</v>
      </c>
      <c r="E48" s="38">
        <v>903050</v>
      </c>
      <c r="F48" s="39" t="s">
        <v>13</v>
      </c>
      <c r="G48" s="40">
        <v>45850</v>
      </c>
      <c r="H48" s="35" t="s">
        <v>25</v>
      </c>
    </row>
    <row r="49" spans="1:8" x14ac:dyDescent="0.25">
      <c r="A49" s="35" t="s">
        <v>32</v>
      </c>
      <c r="B49" s="35" t="s">
        <v>33</v>
      </c>
      <c r="C49" s="35" t="s">
        <v>38</v>
      </c>
      <c r="D49" s="36">
        <v>45869</v>
      </c>
      <c r="E49" s="38">
        <v>801310</v>
      </c>
      <c r="F49" s="39" t="s">
        <v>13</v>
      </c>
      <c r="G49" s="40">
        <v>45850</v>
      </c>
      <c r="H49" s="35" t="s">
        <v>25</v>
      </c>
    </row>
    <row r="50" spans="1:8" x14ac:dyDescent="0.25">
      <c r="A50" s="35" t="s">
        <v>32</v>
      </c>
      <c r="B50" s="35" t="s">
        <v>33</v>
      </c>
      <c r="C50" s="35" t="s">
        <v>38</v>
      </c>
      <c r="D50" s="36">
        <v>45870</v>
      </c>
      <c r="E50" s="38">
        <v>859700</v>
      </c>
      <c r="F50" s="39" t="s">
        <v>13</v>
      </c>
      <c r="G50" s="40">
        <v>45850</v>
      </c>
      <c r="H50" s="35" t="s">
        <v>25</v>
      </c>
    </row>
    <row r="51" spans="1:8" x14ac:dyDescent="0.25">
      <c r="A51" s="35" t="s">
        <v>32</v>
      </c>
      <c r="B51" s="35" t="s">
        <v>33</v>
      </c>
      <c r="C51" s="35" t="s">
        <v>38</v>
      </c>
      <c r="D51" s="36">
        <v>45871</v>
      </c>
      <c r="E51" s="38">
        <v>1081183</v>
      </c>
      <c r="F51" s="39" t="s">
        <v>13</v>
      </c>
      <c r="G51" s="40">
        <v>45850</v>
      </c>
      <c r="H51" s="35" t="s">
        <v>25</v>
      </c>
    </row>
    <row r="52" spans="1:8" x14ac:dyDescent="0.25">
      <c r="A52" s="35" t="s">
        <v>32</v>
      </c>
      <c r="B52" s="35" t="s">
        <v>33</v>
      </c>
      <c r="C52" s="35" t="s">
        <v>38</v>
      </c>
      <c r="D52" s="36">
        <v>45872</v>
      </c>
      <c r="E52" s="38">
        <v>28500</v>
      </c>
      <c r="F52" s="39" t="s">
        <v>13</v>
      </c>
      <c r="G52" s="40">
        <v>45850</v>
      </c>
      <c r="H52" s="35" t="s">
        <v>25</v>
      </c>
    </row>
    <row r="53" spans="1:8" x14ac:dyDescent="0.25">
      <c r="A53" s="35" t="s">
        <v>32</v>
      </c>
      <c r="B53" s="35" t="s">
        <v>33</v>
      </c>
      <c r="C53" s="35" t="s">
        <v>38</v>
      </c>
      <c r="D53" s="36">
        <v>45875</v>
      </c>
      <c r="E53" s="38">
        <v>1248955</v>
      </c>
      <c r="F53" s="39" t="s">
        <v>13</v>
      </c>
      <c r="G53" s="40">
        <v>45850</v>
      </c>
      <c r="H53" s="35" t="s">
        <v>25</v>
      </c>
    </row>
    <row r="54" spans="1:8" x14ac:dyDescent="0.25">
      <c r="A54" s="35" t="s">
        <v>32</v>
      </c>
      <c r="B54" s="35" t="s">
        <v>33</v>
      </c>
      <c r="C54" s="35" t="s">
        <v>38</v>
      </c>
      <c r="D54" s="36">
        <v>45878</v>
      </c>
      <c r="E54" s="38">
        <v>1698280</v>
      </c>
      <c r="F54" s="39" t="s">
        <v>13</v>
      </c>
      <c r="G54" s="40">
        <v>45850</v>
      </c>
      <c r="H54" s="35" t="s">
        <v>25</v>
      </c>
    </row>
    <row r="55" spans="1:8" x14ac:dyDescent="0.25">
      <c r="A55" s="35" t="s">
        <v>32</v>
      </c>
      <c r="B55" s="35" t="s">
        <v>33</v>
      </c>
      <c r="C55" s="35" t="s">
        <v>38</v>
      </c>
      <c r="D55" s="36">
        <v>45879</v>
      </c>
      <c r="E55" s="38">
        <v>527110</v>
      </c>
      <c r="F55" s="39" t="s">
        <v>13</v>
      </c>
      <c r="G55" s="40">
        <v>45850</v>
      </c>
      <c r="H55" s="35" t="s">
        <v>25</v>
      </c>
    </row>
    <row r="56" spans="1:8" x14ac:dyDescent="0.25">
      <c r="A56" s="35" t="s">
        <v>32</v>
      </c>
      <c r="B56" s="35" t="s">
        <v>33</v>
      </c>
      <c r="C56" s="35" t="s">
        <v>38</v>
      </c>
      <c r="D56" s="36">
        <v>45880</v>
      </c>
      <c r="E56" s="41">
        <v>714900</v>
      </c>
      <c r="F56" s="42" t="s">
        <v>13</v>
      </c>
      <c r="G56" s="43">
        <v>45895</v>
      </c>
      <c r="H56" s="35" t="s">
        <v>25</v>
      </c>
    </row>
    <row r="57" spans="1:8" x14ac:dyDescent="0.25">
      <c r="A57" s="35" t="s">
        <v>32</v>
      </c>
      <c r="B57" s="35" t="s">
        <v>33</v>
      </c>
      <c r="C57" s="35" t="s">
        <v>38</v>
      </c>
      <c r="D57" s="36">
        <v>45882</v>
      </c>
      <c r="E57" s="41">
        <v>797300</v>
      </c>
      <c r="F57" s="42" t="s">
        <v>13</v>
      </c>
      <c r="G57" s="43">
        <v>45895</v>
      </c>
      <c r="H57" s="35" t="s">
        <v>25</v>
      </c>
    </row>
    <row r="58" spans="1:8" x14ac:dyDescent="0.25">
      <c r="A58" s="35" t="s">
        <v>32</v>
      </c>
      <c r="B58" s="35" t="s">
        <v>33</v>
      </c>
      <c r="C58" s="35" t="s">
        <v>38</v>
      </c>
      <c r="D58" s="36">
        <v>45884</v>
      </c>
      <c r="E58" s="41">
        <v>1033770</v>
      </c>
      <c r="F58" s="42" t="s">
        <v>13</v>
      </c>
      <c r="G58" s="43">
        <v>45895</v>
      </c>
      <c r="H58" s="35" t="s">
        <v>25</v>
      </c>
    </row>
    <row r="59" spans="1:8" x14ac:dyDescent="0.25">
      <c r="A59" s="35" t="s">
        <v>32</v>
      </c>
      <c r="B59" s="35" t="s">
        <v>33</v>
      </c>
      <c r="C59" s="35" t="s">
        <v>38</v>
      </c>
      <c r="D59" s="36">
        <v>45886</v>
      </c>
      <c r="E59" s="41">
        <v>1493200</v>
      </c>
      <c r="F59" s="42" t="s">
        <v>13</v>
      </c>
      <c r="G59" s="43">
        <v>45895</v>
      </c>
      <c r="H59" s="35" t="s">
        <v>25</v>
      </c>
    </row>
    <row r="60" spans="1:8" x14ac:dyDescent="0.25">
      <c r="A60" s="35" t="s">
        <v>32</v>
      </c>
      <c r="B60" s="35" t="s">
        <v>33</v>
      </c>
      <c r="C60" s="35" t="s">
        <v>38</v>
      </c>
      <c r="D60" s="36">
        <v>45887</v>
      </c>
      <c r="E60" s="41">
        <v>639820</v>
      </c>
      <c r="F60" s="42" t="s">
        <v>13</v>
      </c>
      <c r="G60" s="43">
        <v>45895</v>
      </c>
      <c r="H60" s="35" t="s">
        <v>25</v>
      </c>
    </row>
    <row r="61" spans="1:8" x14ac:dyDescent="0.25">
      <c r="A61" s="35" t="s">
        <v>32</v>
      </c>
      <c r="B61" s="35" t="s">
        <v>33</v>
      </c>
      <c r="C61" s="35" t="s">
        <v>38</v>
      </c>
      <c r="D61" s="36">
        <v>45889</v>
      </c>
      <c r="E61" s="41">
        <v>1152900</v>
      </c>
      <c r="F61" s="42" t="s">
        <v>13</v>
      </c>
      <c r="G61" s="43">
        <v>45895</v>
      </c>
      <c r="H61" s="35" t="s">
        <v>25</v>
      </c>
    </row>
    <row r="62" spans="1:8" x14ac:dyDescent="0.25">
      <c r="A62" s="35" t="s">
        <v>32</v>
      </c>
      <c r="B62" s="35" t="s">
        <v>33</v>
      </c>
      <c r="C62" s="35" t="s">
        <v>38</v>
      </c>
      <c r="D62" s="36">
        <v>45892</v>
      </c>
      <c r="E62" s="41">
        <v>1169900</v>
      </c>
      <c r="F62" s="42" t="s">
        <v>13</v>
      </c>
      <c r="G62" s="43">
        <v>45895</v>
      </c>
      <c r="H62" s="35" t="s">
        <v>25</v>
      </c>
    </row>
    <row r="63" spans="1:8" x14ac:dyDescent="0.25">
      <c r="A63" s="35" t="s">
        <v>32</v>
      </c>
      <c r="B63" s="35" t="s">
        <v>33</v>
      </c>
      <c r="C63" s="35" t="s">
        <v>38</v>
      </c>
      <c r="D63" s="36">
        <v>45896</v>
      </c>
      <c r="E63" s="41">
        <v>867085</v>
      </c>
      <c r="F63" s="42" t="s">
        <v>13</v>
      </c>
      <c r="G63" s="43">
        <v>45895</v>
      </c>
      <c r="H63" s="35" t="s">
        <v>25</v>
      </c>
    </row>
    <row r="64" spans="1:8" x14ac:dyDescent="0.25">
      <c r="A64" s="35" t="s">
        <v>32</v>
      </c>
      <c r="B64" s="35" t="s">
        <v>33</v>
      </c>
      <c r="C64" s="35" t="s">
        <v>38</v>
      </c>
      <c r="D64" s="36">
        <v>45897</v>
      </c>
      <c r="E64" s="41">
        <v>588470</v>
      </c>
      <c r="F64" s="42" t="s">
        <v>13</v>
      </c>
      <c r="G64" s="43">
        <v>45895</v>
      </c>
      <c r="H64" s="35" t="s">
        <v>25</v>
      </c>
    </row>
    <row r="65" spans="1:8" x14ac:dyDescent="0.25">
      <c r="A65" s="35" t="s">
        <v>32</v>
      </c>
      <c r="B65" s="35" t="s">
        <v>33</v>
      </c>
      <c r="C65" s="35" t="s">
        <v>38</v>
      </c>
      <c r="D65" s="36">
        <v>45898</v>
      </c>
      <c r="E65" s="41">
        <v>894640</v>
      </c>
      <c r="F65" s="42" t="s">
        <v>13</v>
      </c>
      <c r="G65" s="43">
        <v>45895</v>
      </c>
      <c r="H65" s="35" t="s">
        <v>25</v>
      </c>
    </row>
    <row r="66" spans="1:8" x14ac:dyDescent="0.25">
      <c r="A66" s="35" t="s">
        <v>32</v>
      </c>
      <c r="B66" s="35" t="s">
        <v>33</v>
      </c>
      <c r="C66" s="35" t="s">
        <v>38</v>
      </c>
      <c r="D66" s="36">
        <v>45899</v>
      </c>
      <c r="E66" s="41">
        <v>662900</v>
      </c>
      <c r="F66" s="42" t="s">
        <v>13</v>
      </c>
      <c r="G66" s="43">
        <v>45895</v>
      </c>
      <c r="H66" s="35" t="s">
        <v>25</v>
      </c>
    </row>
    <row r="67" spans="1:8" x14ac:dyDescent="0.25">
      <c r="A67" s="35" t="s">
        <v>32</v>
      </c>
      <c r="B67" s="35" t="s">
        <v>33</v>
      </c>
      <c r="C67" s="35" t="s">
        <v>39</v>
      </c>
      <c r="D67" s="36">
        <v>45901</v>
      </c>
      <c r="E67" s="41">
        <v>726500</v>
      </c>
      <c r="F67" s="42" t="s">
        <v>13</v>
      </c>
      <c r="G67" s="43">
        <v>45895</v>
      </c>
      <c r="H67" s="35" t="s">
        <v>25</v>
      </c>
    </row>
    <row r="68" spans="1:8" x14ac:dyDescent="0.25">
      <c r="A68" s="35" t="s">
        <v>32</v>
      </c>
      <c r="B68" s="35" t="s">
        <v>33</v>
      </c>
      <c r="C68" s="35" t="s">
        <v>39</v>
      </c>
      <c r="D68" s="36">
        <v>45903</v>
      </c>
      <c r="E68" s="41">
        <v>688300</v>
      </c>
      <c r="F68" s="42" t="s">
        <v>13</v>
      </c>
      <c r="G68" s="43">
        <v>45895</v>
      </c>
      <c r="H68" s="35" t="s">
        <v>25</v>
      </c>
    </row>
    <row r="69" spans="1:8" x14ac:dyDescent="0.25">
      <c r="A69" s="35" t="s">
        <v>32</v>
      </c>
      <c r="B69" s="35" t="s">
        <v>33</v>
      </c>
      <c r="C69" s="35" t="s">
        <v>39</v>
      </c>
      <c r="D69" s="36">
        <v>45904</v>
      </c>
      <c r="E69" s="41">
        <v>561900</v>
      </c>
      <c r="F69" s="42" t="s">
        <v>13</v>
      </c>
      <c r="G69" s="43">
        <v>45895</v>
      </c>
      <c r="H69" s="35" t="s">
        <v>25</v>
      </c>
    </row>
    <row r="70" spans="1:8" x14ac:dyDescent="0.25">
      <c r="A70" s="35" t="s">
        <v>32</v>
      </c>
      <c r="B70" s="35" t="s">
        <v>33</v>
      </c>
      <c r="C70" s="35" t="s">
        <v>39</v>
      </c>
      <c r="D70" s="36">
        <v>45905</v>
      </c>
      <c r="E70" s="41">
        <v>1045900</v>
      </c>
      <c r="F70" s="42" t="s">
        <v>13</v>
      </c>
      <c r="G70" s="43">
        <v>45895</v>
      </c>
      <c r="H70" s="35" t="s">
        <v>25</v>
      </c>
    </row>
    <row r="71" spans="1:8" x14ac:dyDescent="0.25">
      <c r="A71" s="35" t="s">
        <v>32</v>
      </c>
      <c r="B71" s="35" t="s">
        <v>33</v>
      </c>
      <c r="C71" s="35" t="s">
        <v>39</v>
      </c>
      <c r="D71" s="36">
        <v>45907</v>
      </c>
      <c r="E71" s="41">
        <v>1152876.8</v>
      </c>
      <c r="F71" s="42" t="s">
        <v>13</v>
      </c>
      <c r="G71" s="43">
        <v>45895</v>
      </c>
      <c r="H71" s="35" t="s">
        <v>25</v>
      </c>
    </row>
    <row r="72" spans="1:8" x14ac:dyDescent="0.25">
      <c r="A72" s="35" t="s">
        <v>32</v>
      </c>
      <c r="B72" s="35" t="s">
        <v>33</v>
      </c>
      <c r="C72" s="35" t="s">
        <v>39</v>
      </c>
      <c r="D72" s="36">
        <v>45908</v>
      </c>
      <c r="E72" s="41">
        <v>710700</v>
      </c>
      <c r="F72" s="42" t="s">
        <v>13</v>
      </c>
      <c r="G72" s="43">
        <v>45895</v>
      </c>
      <c r="H72" s="35" t="s">
        <v>25</v>
      </c>
    </row>
    <row r="73" spans="1:8" x14ac:dyDescent="0.25">
      <c r="A73" s="35" t="s">
        <v>32</v>
      </c>
      <c r="B73" s="35" t="s">
        <v>33</v>
      </c>
      <c r="C73" s="35" t="s">
        <v>39</v>
      </c>
      <c r="D73" s="36">
        <v>45910</v>
      </c>
      <c r="E73" s="41">
        <v>836800</v>
      </c>
      <c r="F73" s="42" t="s">
        <v>13</v>
      </c>
      <c r="G73" s="43">
        <v>45895</v>
      </c>
      <c r="H73" s="35" t="s">
        <v>25</v>
      </c>
    </row>
    <row r="74" spans="1:8" x14ac:dyDescent="0.25">
      <c r="A74" s="35" t="s">
        <v>32</v>
      </c>
      <c r="B74" s="35" t="s">
        <v>33</v>
      </c>
      <c r="C74" s="35" t="s">
        <v>39</v>
      </c>
      <c r="D74" s="36">
        <v>45912</v>
      </c>
      <c r="E74" s="41">
        <v>1124900</v>
      </c>
      <c r="F74" s="42" t="s">
        <v>13</v>
      </c>
      <c r="G74" s="43">
        <v>45895</v>
      </c>
      <c r="H74" s="35" t="s">
        <v>25</v>
      </c>
    </row>
    <row r="75" spans="1:8" x14ac:dyDescent="0.25">
      <c r="A75" s="35" t="s">
        <v>32</v>
      </c>
      <c r="B75" s="35" t="s">
        <v>33</v>
      </c>
      <c r="C75" s="35" t="s">
        <v>39</v>
      </c>
      <c r="D75" s="36">
        <v>45913</v>
      </c>
      <c r="E75" s="41">
        <v>644250</v>
      </c>
      <c r="F75" s="42" t="s">
        <v>13</v>
      </c>
      <c r="G75" s="43">
        <v>45895</v>
      </c>
      <c r="H75" s="35" t="s">
        <v>25</v>
      </c>
    </row>
    <row r="76" spans="1:8" x14ac:dyDescent="0.25">
      <c r="A76" s="35" t="s">
        <v>32</v>
      </c>
      <c r="B76" s="35" t="s">
        <v>33</v>
      </c>
      <c r="C76" s="35" t="s">
        <v>39</v>
      </c>
      <c r="D76" s="36">
        <v>45915</v>
      </c>
      <c r="E76" s="41">
        <v>1072450</v>
      </c>
      <c r="F76" s="42" t="s">
        <v>13</v>
      </c>
      <c r="G76" s="43">
        <v>45895</v>
      </c>
      <c r="H76" s="35" t="s">
        <v>25</v>
      </c>
    </row>
    <row r="77" spans="1:8" x14ac:dyDescent="0.25">
      <c r="A77" s="35" t="s">
        <v>32</v>
      </c>
      <c r="B77" s="35" t="s">
        <v>33</v>
      </c>
      <c r="C77" s="35" t="s">
        <v>39</v>
      </c>
      <c r="D77" s="36">
        <v>45919</v>
      </c>
      <c r="E77" s="41">
        <v>1587522</v>
      </c>
      <c r="F77" s="42" t="s">
        <v>13</v>
      </c>
      <c r="G77" s="43">
        <v>45895</v>
      </c>
      <c r="H77" s="35" t="s">
        <v>25</v>
      </c>
    </row>
    <row r="78" spans="1:8" x14ac:dyDescent="0.25">
      <c r="A78" s="35" t="s">
        <v>32</v>
      </c>
      <c r="B78" s="35" t="s">
        <v>33</v>
      </c>
      <c r="C78" s="35" t="s">
        <v>39</v>
      </c>
      <c r="D78" s="36">
        <v>45921</v>
      </c>
      <c r="E78" s="13">
        <v>892050</v>
      </c>
      <c r="F78" s="44" t="s">
        <v>13</v>
      </c>
      <c r="G78" s="45">
        <v>45954</v>
      </c>
      <c r="H78" s="35" t="s">
        <v>25</v>
      </c>
    </row>
    <row r="79" spans="1:8" x14ac:dyDescent="0.25">
      <c r="A79" s="35" t="s">
        <v>32</v>
      </c>
      <c r="B79" s="35" t="s">
        <v>33</v>
      </c>
      <c r="C79" s="35" t="s">
        <v>39</v>
      </c>
      <c r="D79" s="36">
        <v>45922</v>
      </c>
      <c r="E79" s="13">
        <v>699500</v>
      </c>
      <c r="F79" s="44" t="s">
        <v>13</v>
      </c>
      <c r="G79" s="45">
        <v>45954</v>
      </c>
      <c r="H79" s="35" t="s">
        <v>25</v>
      </c>
    </row>
    <row r="80" spans="1:8" x14ac:dyDescent="0.25">
      <c r="A80" s="35" t="s">
        <v>32</v>
      </c>
      <c r="B80" s="35" t="s">
        <v>33</v>
      </c>
      <c r="C80" s="35" t="s">
        <v>39</v>
      </c>
      <c r="D80" s="36">
        <v>45926</v>
      </c>
      <c r="E80" s="13">
        <v>1484600</v>
      </c>
      <c r="F80" s="44" t="s">
        <v>13</v>
      </c>
      <c r="G80" s="45">
        <v>45954</v>
      </c>
      <c r="H80" s="35" t="s">
        <v>25</v>
      </c>
    </row>
    <row r="81" spans="1:8" x14ac:dyDescent="0.25">
      <c r="A81" s="35" t="s">
        <v>32</v>
      </c>
      <c r="B81" s="35" t="s">
        <v>33</v>
      </c>
      <c r="C81" s="35" t="s">
        <v>39</v>
      </c>
      <c r="D81" s="36">
        <v>45927</v>
      </c>
      <c r="E81" s="13">
        <v>987400</v>
      </c>
      <c r="F81" s="44" t="s">
        <v>13</v>
      </c>
      <c r="G81" s="45">
        <v>45954</v>
      </c>
      <c r="H81" s="35" t="s">
        <v>25</v>
      </c>
    </row>
    <row r="82" spans="1:8" x14ac:dyDescent="0.25">
      <c r="A82" s="35" t="s">
        <v>32</v>
      </c>
      <c r="B82" s="35" t="s">
        <v>33</v>
      </c>
      <c r="C82" s="35" t="s">
        <v>39</v>
      </c>
      <c r="D82" s="36">
        <v>45929</v>
      </c>
      <c r="E82" s="13">
        <v>1218070</v>
      </c>
      <c r="F82" s="44" t="s">
        <v>13</v>
      </c>
      <c r="G82" s="45">
        <v>45954</v>
      </c>
      <c r="H82" s="35" t="s">
        <v>25</v>
      </c>
    </row>
    <row r="83" spans="1:8" x14ac:dyDescent="0.25">
      <c r="A83" s="35" t="s">
        <v>32</v>
      </c>
      <c r="B83" s="35" t="s">
        <v>33</v>
      </c>
      <c r="C83" s="35" t="s">
        <v>40</v>
      </c>
      <c r="D83" s="36">
        <v>45931</v>
      </c>
      <c r="E83" s="10">
        <v>1766452</v>
      </c>
      <c r="F83" s="46" t="s">
        <v>12</v>
      </c>
      <c r="G83" s="47">
        <v>45958</v>
      </c>
      <c r="H83" s="35" t="s">
        <v>25</v>
      </c>
    </row>
    <row r="84" spans="1:8" x14ac:dyDescent="0.25">
      <c r="A84" s="35" t="s">
        <v>32</v>
      </c>
      <c r="B84" s="35" t="s">
        <v>33</v>
      </c>
      <c r="C84" s="35" t="s">
        <v>40</v>
      </c>
      <c r="D84" s="36">
        <v>45932</v>
      </c>
      <c r="E84" s="10">
        <v>1386350</v>
      </c>
      <c r="F84" s="46" t="s">
        <v>12</v>
      </c>
      <c r="G84" s="47">
        <v>45958</v>
      </c>
      <c r="H84" s="35" t="s">
        <v>25</v>
      </c>
    </row>
    <row r="85" spans="1:8" x14ac:dyDescent="0.25">
      <c r="A85" s="35" t="s">
        <v>32</v>
      </c>
      <c r="B85" s="35" t="s">
        <v>33</v>
      </c>
      <c r="C85" s="35" t="s">
        <v>40</v>
      </c>
      <c r="D85" s="36">
        <v>45933</v>
      </c>
      <c r="E85" s="10">
        <v>801350</v>
      </c>
      <c r="F85" s="46" t="s">
        <v>12</v>
      </c>
      <c r="G85" s="47">
        <v>45958</v>
      </c>
      <c r="H85" s="35" t="s">
        <v>25</v>
      </c>
    </row>
    <row r="86" spans="1:8" x14ac:dyDescent="0.25">
      <c r="A86" s="35" t="s">
        <v>32</v>
      </c>
      <c r="B86" s="35" t="s">
        <v>33</v>
      </c>
      <c r="C86" s="35" t="s">
        <v>40</v>
      </c>
      <c r="D86" s="36">
        <v>45934</v>
      </c>
      <c r="E86" s="10">
        <v>621350</v>
      </c>
      <c r="F86" s="46" t="s">
        <v>12</v>
      </c>
      <c r="G86" s="47">
        <v>45958</v>
      </c>
      <c r="H86" s="35" t="s">
        <v>25</v>
      </c>
    </row>
    <row r="87" spans="1:8" x14ac:dyDescent="0.25">
      <c r="A87" s="35" t="s">
        <v>41</v>
      </c>
      <c r="B87" s="35" t="s">
        <v>42</v>
      </c>
      <c r="C87" s="35" t="s">
        <v>43</v>
      </c>
      <c r="D87" s="36">
        <v>45938</v>
      </c>
      <c r="E87" s="12">
        <v>20000</v>
      </c>
      <c r="F87" s="35" t="s">
        <v>12</v>
      </c>
      <c r="G87" s="36">
        <v>45938</v>
      </c>
      <c r="H87" s="35" t="s">
        <v>24</v>
      </c>
    </row>
    <row r="88" spans="1:8" x14ac:dyDescent="0.25">
      <c r="A88" s="35" t="s">
        <v>47</v>
      </c>
      <c r="B88" s="35" t="s">
        <v>33</v>
      </c>
      <c r="C88" s="35">
        <v>337143</v>
      </c>
      <c r="D88" s="36">
        <v>45940</v>
      </c>
      <c r="E88" s="12">
        <v>175438</v>
      </c>
      <c r="F88" s="35" t="s">
        <v>13</v>
      </c>
      <c r="G88" s="36">
        <v>45940</v>
      </c>
      <c r="H88" s="35" t="s">
        <v>25</v>
      </c>
    </row>
    <row r="89" spans="1:8" x14ac:dyDescent="0.25">
      <c r="A89" s="35" t="s">
        <v>47</v>
      </c>
      <c r="B89" s="35" t="s">
        <v>33</v>
      </c>
      <c r="C89" s="35">
        <v>337153</v>
      </c>
      <c r="D89" s="36">
        <v>45940</v>
      </c>
      <c r="E89" s="12">
        <v>485254</v>
      </c>
      <c r="F89" s="35" t="s">
        <v>13</v>
      </c>
      <c r="G89" s="36">
        <v>45940</v>
      </c>
      <c r="H89" s="35" t="s">
        <v>25</v>
      </c>
    </row>
    <row r="90" spans="1:8" x14ac:dyDescent="0.25">
      <c r="A90" s="35" t="s">
        <v>44</v>
      </c>
      <c r="B90" s="35">
        <v>894509</v>
      </c>
      <c r="C90" s="35" t="s">
        <v>43</v>
      </c>
      <c r="D90" s="36">
        <v>45940</v>
      </c>
      <c r="E90" s="12">
        <v>2707246</v>
      </c>
      <c r="F90" s="35" t="s">
        <v>12</v>
      </c>
      <c r="G90" s="36">
        <v>45940</v>
      </c>
      <c r="H90" s="35" t="s">
        <v>24</v>
      </c>
    </row>
    <row r="91" spans="1:8" x14ac:dyDescent="0.25">
      <c r="A91" s="35" t="s">
        <v>45</v>
      </c>
      <c r="B91" s="35" t="s">
        <v>46</v>
      </c>
      <c r="C91" s="35" t="s">
        <v>43</v>
      </c>
      <c r="D91" s="36">
        <v>45940</v>
      </c>
      <c r="E91" s="12">
        <v>100000</v>
      </c>
      <c r="F91" s="35" t="s">
        <v>12</v>
      </c>
      <c r="G91" s="36">
        <v>45939</v>
      </c>
      <c r="H91" s="35" t="s">
        <v>24</v>
      </c>
    </row>
    <row r="92" spans="1:8" x14ac:dyDescent="0.25">
      <c r="A92" s="35" t="s">
        <v>48</v>
      </c>
      <c r="B92" s="35" t="s">
        <v>49</v>
      </c>
      <c r="C92" s="35">
        <v>7714670</v>
      </c>
      <c r="D92" s="36">
        <v>45941</v>
      </c>
      <c r="E92" s="12">
        <v>2603890</v>
      </c>
      <c r="F92" s="35" t="s">
        <v>12</v>
      </c>
      <c r="G92" s="36">
        <v>45938</v>
      </c>
      <c r="H92" s="35" t="s">
        <v>24</v>
      </c>
    </row>
    <row r="93" spans="1:8" x14ac:dyDescent="0.25">
      <c r="A93" s="35" t="s">
        <v>50</v>
      </c>
      <c r="B93" s="35" t="s">
        <v>33</v>
      </c>
      <c r="C93" s="35">
        <v>151228</v>
      </c>
      <c r="D93" s="36">
        <v>45943</v>
      </c>
      <c r="E93" s="12">
        <f>1353802*0.9</f>
        <v>1218421.8</v>
      </c>
      <c r="F93" s="35" t="s">
        <v>13</v>
      </c>
      <c r="G93" s="36">
        <v>45943</v>
      </c>
      <c r="H93" s="35" t="s">
        <v>25</v>
      </c>
    </row>
    <row r="94" spans="1:8" x14ac:dyDescent="0.25">
      <c r="A94" s="35" t="s">
        <v>51</v>
      </c>
      <c r="B94" s="35" t="s">
        <v>52</v>
      </c>
      <c r="C94" s="35" t="s">
        <v>39</v>
      </c>
      <c r="D94" s="36">
        <v>45945</v>
      </c>
      <c r="E94" s="12">
        <v>150000</v>
      </c>
      <c r="F94" s="35" t="s">
        <v>13</v>
      </c>
      <c r="G94" s="36">
        <v>45943</v>
      </c>
      <c r="H94" s="35" t="s">
        <v>24</v>
      </c>
    </row>
    <row r="95" spans="1:8" x14ac:dyDescent="0.25">
      <c r="A95" s="35" t="s">
        <v>53</v>
      </c>
      <c r="B95" s="35" t="s">
        <v>54</v>
      </c>
      <c r="C95" s="35" t="s">
        <v>43</v>
      </c>
      <c r="D95" s="36">
        <v>45945</v>
      </c>
      <c r="E95" s="12">
        <v>119400</v>
      </c>
      <c r="F95" s="35" t="s">
        <v>13</v>
      </c>
      <c r="G95" s="36">
        <v>45954</v>
      </c>
      <c r="H95" s="35" t="s">
        <v>24</v>
      </c>
    </row>
    <row r="96" spans="1:8" x14ac:dyDescent="0.25">
      <c r="A96" s="35" t="s">
        <v>4</v>
      </c>
      <c r="B96" s="35" t="s">
        <v>52</v>
      </c>
      <c r="C96" s="35" t="s">
        <v>43</v>
      </c>
      <c r="D96" s="36">
        <v>45945</v>
      </c>
      <c r="E96" s="12">
        <v>899000</v>
      </c>
      <c r="F96" s="35" t="s">
        <v>13</v>
      </c>
      <c r="G96" s="36">
        <v>45945</v>
      </c>
      <c r="H96" s="35" t="s">
        <v>24</v>
      </c>
    </row>
    <row r="97" spans="1:8" x14ac:dyDescent="0.25">
      <c r="A97" s="35" t="s">
        <v>23</v>
      </c>
      <c r="B97" s="35" t="s">
        <v>52</v>
      </c>
      <c r="C97" s="35" t="s">
        <v>43</v>
      </c>
      <c r="D97" s="36">
        <v>45945</v>
      </c>
      <c r="E97" s="12">
        <v>899000</v>
      </c>
      <c r="F97" s="35" t="s">
        <v>13</v>
      </c>
      <c r="G97" s="36">
        <v>45945</v>
      </c>
      <c r="H97" s="35" t="s">
        <v>24</v>
      </c>
    </row>
    <row r="98" spans="1:8" x14ac:dyDescent="0.25">
      <c r="A98" s="35" t="s">
        <v>5</v>
      </c>
      <c r="B98" s="35" t="s">
        <v>52</v>
      </c>
      <c r="C98" s="35" t="s">
        <v>43</v>
      </c>
      <c r="D98" s="36">
        <v>45945</v>
      </c>
      <c r="E98" s="12">
        <v>899000</v>
      </c>
      <c r="F98" s="35" t="s">
        <v>13</v>
      </c>
      <c r="G98" s="36">
        <v>45945</v>
      </c>
      <c r="H98" s="35" t="s">
        <v>24</v>
      </c>
    </row>
    <row r="99" spans="1:8" x14ac:dyDescent="0.25">
      <c r="A99" s="35" t="s">
        <v>55</v>
      </c>
      <c r="B99" s="35" t="s">
        <v>52</v>
      </c>
      <c r="C99" s="35" t="s">
        <v>43</v>
      </c>
      <c r="D99" s="36">
        <v>45945</v>
      </c>
      <c r="E99" s="12">
        <v>150000</v>
      </c>
      <c r="F99" s="35" t="s">
        <v>13</v>
      </c>
      <c r="G99" s="36">
        <v>45945</v>
      </c>
      <c r="H99" s="35" t="s">
        <v>24</v>
      </c>
    </row>
    <row r="100" spans="1:8" x14ac:dyDescent="0.25">
      <c r="A100" s="35" t="s">
        <v>51</v>
      </c>
      <c r="B100" s="35" t="s">
        <v>52</v>
      </c>
      <c r="C100" s="35" t="s">
        <v>43</v>
      </c>
      <c r="D100" s="36">
        <v>45945</v>
      </c>
      <c r="E100" s="12">
        <v>150000</v>
      </c>
      <c r="F100" s="35" t="s">
        <v>13</v>
      </c>
      <c r="G100" s="75">
        <v>45945</v>
      </c>
      <c r="H100" s="35" t="s">
        <v>24</v>
      </c>
    </row>
    <row r="101" spans="1:8" x14ac:dyDescent="0.25">
      <c r="A101" s="35" t="s">
        <v>5</v>
      </c>
      <c r="B101" s="35" t="s">
        <v>56</v>
      </c>
      <c r="C101" s="35" t="s">
        <v>43</v>
      </c>
      <c r="D101" s="36">
        <v>45945</v>
      </c>
      <c r="E101" s="12">
        <v>50000</v>
      </c>
      <c r="F101" s="35" t="s">
        <v>13</v>
      </c>
      <c r="G101" s="36">
        <v>45945</v>
      </c>
      <c r="H101" s="35" t="s">
        <v>25</v>
      </c>
    </row>
    <row r="102" spans="1:8" x14ac:dyDescent="0.25">
      <c r="A102" s="35" t="s">
        <v>55</v>
      </c>
      <c r="B102" s="35" t="s">
        <v>56</v>
      </c>
      <c r="C102" s="35" t="s">
        <v>43</v>
      </c>
      <c r="D102" s="36">
        <v>45945</v>
      </c>
      <c r="E102" s="12">
        <v>50000</v>
      </c>
      <c r="F102" s="35" t="s">
        <v>13</v>
      </c>
      <c r="G102" s="36">
        <v>45945</v>
      </c>
      <c r="H102" s="35" t="s">
        <v>25</v>
      </c>
    </row>
    <row r="103" spans="1:8" x14ac:dyDescent="0.25">
      <c r="A103" s="35" t="s">
        <v>47</v>
      </c>
      <c r="B103" s="35" t="s">
        <v>33</v>
      </c>
      <c r="C103" s="35">
        <v>340292</v>
      </c>
      <c r="D103" s="36">
        <v>45949</v>
      </c>
      <c r="E103" s="12">
        <v>216611</v>
      </c>
      <c r="F103" s="35" t="s">
        <v>13</v>
      </c>
      <c r="G103" s="36">
        <v>45949</v>
      </c>
      <c r="H103" s="35" t="s">
        <v>25</v>
      </c>
    </row>
    <row r="104" spans="1:8" x14ac:dyDescent="0.25">
      <c r="A104" s="35" t="s">
        <v>47</v>
      </c>
      <c r="B104" s="35" t="s">
        <v>33</v>
      </c>
      <c r="C104" s="35">
        <v>340295</v>
      </c>
      <c r="D104" s="36">
        <v>45949</v>
      </c>
      <c r="E104" s="12">
        <f>466208*0.88</f>
        <v>410263.03999999998</v>
      </c>
      <c r="F104" s="35" t="s">
        <v>13</v>
      </c>
      <c r="G104" s="36">
        <v>45949</v>
      </c>
      <c r="H104" s="35" t="s">
        <v>25</v>
      </c>
    </row>
    <row r="105" spans="1:8" x14ac:dyDescent="0.25">
      <c r="A105" s="35" t="s">
        <v>47</v>
      </c>
      <c r="B105" s="35" t="s">
        <v>33</v>
      </c>
      <c r="C105" s="35">
        <v>340298</v>
      </c>
      <c r="D105" s="36">
        <v>45949</v>
      </c>
      <c r="E105" s="12">
        <v>49106</v>
      </c>
      <c r="F105" s="35" t="s">
        <v>13</v>
      </c>
      <c r="G105" s="36">
        <v>45949</v>
      </c>
      <c r="H105" s="35" t="s">
        <v>25</v>
      </c>
    </row>
    <row r="106" spans="1:8" x14ac:dyDescent="0.25">
      <c r="A106" s="35" t="s">
        <v>47</v>
      </c>
      <c r="B106" s="35" t="s">
        <v>33</v>
      </c>
      <c r="C106" s="35">
        <v>342029</v>
      </c>
      <c r="D106" s="36">
        <v>45954</v>
      </c>
      <c r="E106" s="12">
        <f>334333*0.88</f>
        <v>294213.03999999998</v>
      </c>
      <c r="F106" s="35" t="s">
        <v>13</v>
      </c>
      <c r="G106" s="36">
        <v>45954</v>
      </c>
      <c r="H106" s="35" t="s">
        <v>25</v>
      </c>
    </row>
    <row r="107" spans="1:8" x14ac:dyDescent="0.25">
      <c r="A107" s="35" t="s">
        <v>47</v>
      </c>
      <c r="B107" s="35" t="s">
        <v>33</v>
      </c>
      <c r="C107" s="35">
        <v>342039</v>
      </c>
      <c r="D107" s="36">
        <v>45954</v>
      </c>
      <c r="E107" s="12">
        <v>30102</v>
      </c>
      <c r="F107" s="35" t="s">
        <v>13</v>
      </c>
      <c r="G107" s="36">
        <v>45954</v>
      </c>
      <c r="H107" s="35" t="s">
        <v>25</v>
      </c>
    </row>
    <row r="108" spans="1:8" x14ac:dyDescent="0.25">
      <c r="A108" s="35" t="s">
        <v>47</v>
      </c>
      <c r="B108" s="35" t="s">
        <v>33</v>
      </c>
      <c r="C108" s="35">
        <v>342042</v>
      </c>
      <c r="D108" s="36">
        <v>45954</v>
      </c>
      <c r="E108" s="12">
        <v>524559</v>
      </c>
      <c r="F108" s="35" t="s">
        <v>13</v>
      </c>
      <c r="G108" s="36">
        <v>45954</v>
      </c>
      <c r="H108" s="35" t="s">
        <v>25</v>
      </c>
    </row>
    <row r="109" spans="1:8" x14ac:dyDescent="0.25">
      <c r="A109" s="35" t="s">
        <v>47</v>
      </c>
      <c r="B109" s="35" t="s">
        <v>33</v>
      </c>
      <c r="C109" s="35">
        <v>343151</v>
      </c>
      <c r="D109" s="36">
        <v>45959</v>
      </c>
      <c r="E109" s="12">
        <v>593930</v>
      </c>
      <c r="F109" s="35" t="s">
        <v>13</v>
      </c>
      <c r="G109" s="36">
        <v>45960</v>
      </c>
      <c r="H109" s="35" t="s">
        <v>25</v>
      </c>
    </row>
    <row r="110" spans="1:8" x14ac:dyDescent="0.25">
      <c r="A110" s="35" t="s">
        <v>47</v>
      </c>
      <c r="B110" s="35" t="s">
        <v>33</v>
      </c>
      <c r="C110" s="35">
        <v>343154</v>
      </c>
      <c r="D110" s="36">
        <v>45959</v>
      </c>
      <c r="E110" s="12">
        <v>303355</v>
      </c>
      <c r="F110" s="35" t="s">
        <v>13</v>
      </c>
      <c r="G110" s="36">
        <v>45960</v>
      </c>
      <c r="H110" s="35" t="s">
        <v>25</v>
      </c>
    </row>
    <row r="111" spans="1:8" x14ac:dyDescent="0.25">
      <c r="A111" s="35" t="s">
        <v>47</v>
      </c>
      <c r="B111" s="35" t="s">
        <v>33</v>
      </c>
      <c r="C111" s="35">
        <v>343169</v>
      </c>
      <c r="D111" s="36">
        <v>45959</v>
      </c>
      <c r="E111" s="12">
        <f>398474*0.88+75709</f>
        <v>426366.12</v>
      </c>
      <c r="F111" s="35" t="s">
        <v>13</v>
      </c>
      <c r="G111" s="36">
        <v>45960</v>
      </c>
      <c r="H111" s="35" t="s">
        <v>25</v>
      </c>
    </row>
    <row r="112" spans="1:8" x14ac:dyDescent="0.25">
      <c r="A112" s="35" t="s">
        <v>57</v>
      </c>
      <c r="B112" s="35" t="s">
        <v>33</v>
      </c>
      <c r="C112" s="35">
        <v>419931</v>
      </c>
      <c r="D112" s="36">
        <v>45960</v>
      </c>
      <c r="E112" s="12">
        <v>786200</v>
      </c>
      <c r="F112" s="35" t="s">
        <v>13</v>
      </c>
      <c r="G112" s="36">
        <v>45960</v>
      </c>
      <c r="H112" s="35" t="s">
        <v>25</v>
      </c>
    </row>
    <row r="113" spans="1:8" x14ac:dyDescent="0.25">
      <c r="A113" s="35" t="s">
        <v>4</v>
      </c>
      <c r="B113" s="35" t="s">
        <v>52</v>
      </c>
      <c r="C113" s="35" t="s">
        <v>43</v>
      </c>
      <c r="D113" s="36">
        <v>45960</v>
      </c>
      <c r="E113" s="12">
        <v>765000</v>
      </c>
      <c r="F113" s="35" t="s">
        <v>12</v>
      </c>
      <c r="G113" s="36">
        <v>45960</v>
      </c>
      <c r="H113" s="35" t="s">
        <v>24</v>
      </c>
    </row>
    <row r="114" spans="1:8" x14ac:dyDescent="0.25">
      <c r="A114" s="35" t="s">
        <v>23</v>
      </c>
      <c r="B114" s="35" t="s">
        <v>52</v>
      </c>
      <c r="C114" s="35" t="s">
        <v>43</v>
      </c>
      <c r="D114" s="36">
        <v>45960</v>
      </c>
      <c r="E114" s="12">
        <v>822000</v>
      </c>
      <c r="F114" s="35" t="s">
        <v>12</v>
      </c>
      <c r="G114" s="36">
        <v>45960</v>
      </c>
      <c r="H114" s="35" t="s">
        <v>24</v>
      </c>
    </row>
    <row r="115" spans="1:8" x14ac:dyDescent="0.25">
      <c r="A115" s="35" t="s">
        <v>5</v>
      </c>
      <c r="B115" s="35" t="s">
        <v>52</v>
      </c>
      <c r="C115" s="35" t="s">
        <v>43</v>
      </c>
      <c r="D115" s="36">
        <v>45960</v>
      </c>
      <c r="E115" s="12">
        <v>765000</v>
      </c>
      <c r="F115" s="35" t="s">
        <v>12</v>
      </c>
      <c r="G115" s="36">
        <v>45960</v>
      </c>
      <c r="H115" s="35" t="s">
        <v>24</v>
      </c>
    </row>
    <row r="116" spans="1:8" x14ac:dyDescent="0.25">
      <c r="A116" s="35" t="s">
        <v>55</v>
      </c>
      <c r="B116" s="35" t="s">
        <v>52</v>
      </c>
      <c r="C116" s="35" t="s">
        <v>43</v>
      </c>
      <c r="D116" s="36">
        <v>45960</v>
      </c>
      <c r="E116" s="12">
        <v>150000</v>
      </c>
      <c r="F116" s="35" t="s">
        <v>12</v>
      </c>
      <c r="G116" s="36">
        <v>45960</v>
      </c>
      <c r="H116" s="35" t="s">
        <v>24</v>
      </c>
    </row>
    <row r="117" spans="1:8" x14ac:dyDescent="0.25">
      <c r="A117" s="35" t="s">
        <v>51</v>
      </c>
      <c r="B117" s="35" t="s">
        <v>52</v>
      </c>
      <c r="C117" s="35" t="s">
        <v>43</v>
      </c>
      <c r="D117" s="36">
        <v>45960</v>
      </c>
      <c r="E117" s="12">
        <v>150000</v>
      </c>
      <c r="F117" s="35" t="s">
        <v>13</v>
      </c>
      <c r="G117" s="36">
        <v>45960</v>
      </c>
      <c r="H117" s="35" t="s">
        <v>24</v>
      </c>
    </row>
    <row r="118" spans="1:8" x14ac:dyDescent="0.25">
      <c r="A118" s="35" t="s">
        <v>50</v>
      </c>
      <c r="B118" s="35" t="s">
        <v>33</v>
      </c>
      <c r="C118" s="35">
        <v>153071</v>
      </c>
      <c r="D118" s="36">
        <v>45964</v>
      </c>
      <c r="E118" s="12">
        <f>232190*0.9</f>
        <v>208971</v>
      </c>
      <c r="F118" s="35" t="s">
        <v>12</v>
      </c>
      <c r="G118" s="36">
        <v>45966</v>
      </c>
      <c r="H118" s="35" t="s">
        <v>25</v>
      </c>
    </row>
    <row r="119" spans="1:8" x14ac:dyDescent="0.25">
      <c r="A119" s="35" t="s">
        <v>47</v>
      </c>
      <c r="B119" s="35" t="s">
        <v>33</v>
      </c>
      <c r="C119" s="35">
        <v>346176</v>
      </c>
      <c r="D119" s="36">
        <v>45967</v>
      </c>
      <c r="E119" s="12">
        <f>288817*0.88</f>
        <v>254158.96</v>
      </c>
      <c r="F119" s="35" t="s">
        <v>13</v>
      </c>
      <c r="G119" s="36">
        <v>45972</v>
      </c>
      <c r="H119" s="35" t="s">
        <v>25</v>
      </c>
    </row>
    <row r="120" spans="1:8" x14ac:dyDescent="0.25">
      <c r="A120" s="35" t="s">
        <v>47</v>
      </c>
      <c r="B120" s="35" t="s">
        <v>33</v>
      </c>
      <c r="C120" s="35">
        <v>346181</v>
      </c>
      <c r="D120" s="36">
        <v>45967</v>
      </c>
      <c r="E120" s="12">
        <v>200232</v>
      </c>
      <c r="F120" s="35" t="s">
        <v>13</v>
      </c>
      <c r="G120" s="36">
        <v>45972</v>
      </c>
      <c r="H120" s="35" t="s">
        <v>25</v>
      </c>
    </row>
    <row r="121" spans="1:8" x14ac:dyDescent="0.25">
      <c r="A121" s="35" t="s">
        <v>47</v>
      </c>
      <c r="B121" s="35" t="s">
        <v>33</v>
      </c>
      <c r="C121" s="35">
        <v>346202</v>
      </c>
      <c r="D121" s="36">
        <v>45967</v>
      </c>
      <c r="E121" s="12">
        <v>418618</v>
      </c>
      <c r="F121" s="35" t="s">
        <v>13</v>
      </c>
      <c r="G121" s="36">
        <v>45972</v>
      </c>
      <c r="H121" s="35" t="s">
        <v>25</v>
      </c>
    </row>
    <row r="122" spans="1:8" x14ac:dyDescent="0.25">
      <c r="A122" s="35" t="s">
        <v>47</v>
      </c>
      <c r="B122" s="35" t="s">
        <v>33</v>
      </c>
      <c r="C122" s="35">
        <v>346927</v>
      </c>
      <c r="D122" s="36">
        <v>45968</v>
      </c>
      <c r="E122" s="12">
        <f>263101*0.88</f>
        <v>231528.88</v>
      </c>
      <c r="F122" s="35" t="s">
        <v>13</v>
      </c>
      <c r="G122" s="36">
        <v>45972</v>
      </c>
      <c r="H122" s="35" t="s">
        <v>25</v>
      </c>
    </row>
    <row r="123" spans="1:8" x14ac:dyDescent="0.25">
      <c r="A123" s="35" t="s">
        <v>47</v>
      </c>
      <c r="B123" s="35" t="s">
        <v>33</v>
      </c>
      <c r="C123" s="35">
        <v>346937</v>
      </c>
      <c r="D123" s="36">
        <v>45968</v>
      </c>
      <c r="E123" s="12">
        <v>205237</v>
      </c>
      <c r="F123" s="35" t="s">
        <v>13</v>
      </c>
      <c r="G123" s="36">
        <v>45972</v>
      </c>
      <c r="H123" s="35" t="s">
        <v>25</v>
      </c>
    </row>
    <row r="124" spans="1:8" x14ac:dyDescent="0.25">
      <c r="A124" s="35" t="s">
        <v>47</v>
      </c>
      <c r="B124" s="35" t="s">
        <v>33</v>
      </c>
      <c r="C124" s="35">
        <v>346945</v>
      </c>
      <c r="D124" s="36">
        <v>45968</v>
      </c>
      <c r="E124" s="12">
        <f>438894*0.88</f>
        <v>386226.72000000003</v>
      </c>
      <c r="F124" s="35" t="s">
        <v>13</v>
      </c>
      <c r="G124" s="36">
        <v>45972</v>
      </c>
      <c r="H124" s="35" t="s">
        <v>25</v>
      </c>
    </row>
    <row r="125" spans="1:8" x14ac:dyDescent="0.25">
      <c r="A125" s="35" t="s">
        <v>57</v>
      </c>
      <c r="B125" s="35" t="s">
        <v>33</v>
      </c>
      <c r="C125" s="35">
        <v>421529</v>
      </c>
      <c r="D125" s="36">
        <v>45968</v>
      </c>
      <c r="E125" s="12">
        <v>1359673</v>
      </c>
      <c r="F125" s="35" t="s">
        <v>13</v>
      </c>
      <c r="G125" s="36">
        <v>45972</v>
      </c>
      <c r="H125" s="35" t="s">
        <v>25</v>
      </c>
    </row>
    <row r="126" spans="1:8" x14ac:dyDescent="0.25">
      <c r="A126" s="35" t="s">
        <v>45</v>
      </c>
      <c r="B126" s="35" t="s">
        <v>46</v>
      </c>
      <c r="C126" s="35" t="s">
        <v>60</v>
      </c>
      <c r="D126" s="36">
        <v>45971</v>
      </c>
      <c r="E126" s="12">
        <v>100000</v>
      </c>
      <c r="F126" s="35" t="s">
        <v>12</v>
      </c>
      <c r="G126" s="36">
        <v>45970</v>
      </c>
      <c r="H126" s="35" t="s">
        <v>24</v>
      </c>
    </row>
    <row r="127" spans="1:8" x14ac:dyDescent="0.25">
      <c r="A127" s="35" t="s">
        <v>50</v>
      </c>
      <c r="B127" s="35" t="s">
        <v>33</v>
      </c>
      <c r="C127" s="35">
        <v>153870</v>
      </c>
      <c r="D127" s="36">
        <v>45974</v>
      </c>
      <c r="E127" s="12">
        <f>(2009956-84120)*0.9</f>
        <v>1733252.4000000001</v>
      </c>
      <c r="F127" s="35" t="s">
        <v>13</v>
      </c>
      <c r="G127" s="36">
        <v>45974</v>
      </c>
      <c r="H127" s="35" t="s">
        <v>25</v>
      </c>
    </row>
    <row r="128" spans="1:8" x14ac:dyDescent="0.25">
      <c r="A128" s="35" t="s">
        <v>50</v>
      </c>
      <c r="B128" s="35" t="s">
        <v>33</v>
      </c>
      <c r="C128" s="35">
        <v>153872</v>
      </c>
      <c r="D128" s="36">
        <v>45974</v>
      </c>
      <c r="E128" s="12">
        <f>(2324406-24383)*0.9</f>
        <v>2070020.7</v>
      </c>
      <c r="F128" s="35" t="s">
        <v>13</v>
      </c>
      <c r="G128" s="36">
        <v>45974</v>
      </c>
      <c r="H128" s="35" t="s">
        <v>25</v>
      </c>
    </row>
    <row r="129" spans="1:8" x14ac:dyDescent="0.25">
      <c r="A129" s="35" t="s">
        <v>48</v>
      </c>
      <c r="B129" s="35" t="s">
        <v>49</v>
      </c>
      <c r="C129" s="35">
        <v>7714670</v>
      </c>
      <c r="D129" s="36">
        <v>45975</v>
      </c>
      <c r="E129" s="12">
        <v>2312880</v>
      </c>
      <c r="F129" s="35" t="s">
        <v>12</v>
      </c>
      <c r="G129" s="36">
        <v>45975</v>
      </c>
      <c r="H129" s="35" t="s">
        <v>24</v>
      </c>
    </row>
    <row r="130" spans="1:8" x14ac:dyDescent="0.25">
      <c r="A130" s="35" t="s">
        <v>44</v>
      </c>
      <c r="B130" s="35">
        <v>894509</v>
      </c>
      <c r="C130" s="35" t="s">
        <v>60</v>
      </c>
      <c r="D130" s="36">
        <v>45975</v>
      </c>
      <c r="E130" s="12">
        <v>370000</v>
      </c>
      <c r="F130" s="35" t="s">
        <v>12</v>
      </c>
      <c r="G130" s="36">
        <v>45975</v>
      </c>
      <c r="H130" s="35" t="s">
        <v>24</v>
      </c>
    </row>
    <row r="131" spans="1:8" x14ac:dyDescent="0.25">
      <c r="A131" s="35" t="s">
        <v>53</v>
      </c>
      <c r="B131" s="35" t="s">
        <v>54</v>
      </c>
      <c r="C131" s="35" t="s">
        <v>60</v>
      </c>
      <c r="D131" s="36">
        <v>45976</v>
      </c>
      <c r="E131" s="12">
        <v>119400</v>
      </c>
      <c r="F131" s="35" t="s">
        <v>12</v>
      </c>
      <c r="G131" s="36">
        <v>46001</v>
      </c>
      <c r="H131" s="35" t="s">
        <v>24</v>
      </c>
    </row>
    <row r="132" spans="1:8" x14ac:dyDescent="0.25">
      <c r="A132" s="35" t="s">
        <v>4</v>
      </c>
      <c r="B132" s="35" t="s">
        <v>52</v>
      </c>
      <c r="C132" s="35" t="s">
        <v>60</v>
      </c>
      <c r="D132" s="36">
        <v>45976</v>
      </c>
      <c r="E132" s="12">
        <v>1030906</v>
      </c>
      <c r="F132" s="35" t="s">
        <v>12</v>
      </c>
      <c r="G132" s="36">
        <v>45976</v>
      </c>
      <c r="H132" s="35" t="s">
        <v>24</v>
      </c>
    </row>
    <row r="133" spans="1:8" x14ac:dyDescent="0.25">
      <c r="A133" s="35" t="s">
        <v>5</v>
      </c>
      <c r="B133" s="35" t="s">
        <v>52</v>
      </c>
      <c r="C133" s="35" t="s">
        <v>60</v>
      </c>
      <c r="D133" s="36">
        <v>45976</v>
      </c>
      <c r="E133" s="12">
        <v>1030906</v>
      </c>
      <c r="F133" s="35" t="s">
        <v>12</v>
      </c>
      <c r="G133" s="36">
        <v>45976</v>
      </c>
      <c r="H133" s="35" t="s">
        <v>24</v>
      </c>
    </row>
    <row r="134" spans="1:8" x14ac:dyDescent="0.25">
      <c r="A134" s="35" t="s">
        <v>55</v>
      </c>
      <c r="B134" s="35" t="s">
        <v>52</v>
      </c>
      <c r="C134" s="35" t="s">
        <v>60</v>
      </c>
      <c r="D134" s="36">
        <v>45976</v>
      </c>
      <c r="E134" s="12">
        <v>210000</v>
      </c>
      <c r="F134" s="35" t="s">
        <v>13</v>
      </c>
      <c r="G134" s="36">
        <v>45976</v>
      </c>
      <c r="H134" s="35" t="s">
        <v>24</v>
      </c>
    </row>
    <row r="135" spans="1:8" x14ac:dyDescent="0.25">
      <c r="A135" s="35" t="s">
        <v>51</v>
      </c>
      <c r="B135" s="35" t="s">
        <v>52</v>
      </c>
      <c r="C135" s="35" t="s">
        <v>60</v>
      </c>
      <c r="D135" s="36">
        <v>45976</v>
      </c>
      <c r="E135" s="12">
        <v>270000</v>
      </c>
      <c r="F135" s="35" t="s">
        <v>13</v>
      </c>
      <c r="G135" s="36">
        <v>45976</v>
      </c>
      <c r="H135" s="35" t="s">
        <v>24</v>
      </c>
    </row>
    <row r="136" spans="1:8" x14ac:dyDescent="0.25">
      <c r="A136" s="35" t="s">
        <v>47</v>
      </c>
      <c r="B136" s="35" t="s">
        <v>33</v>
      </c>
      <c r="C136" s="35">
        <v>349575</v>
      </c>
      <c r="D136" s="36">
        <v>45977</v>
      </c>
      <c r="E136" s="12">
        <v>55271</v>
      </c>
      <c r="F136" s="35" t="s">
        <v>12</v>
      </c>
      <c r="G136" s="36">
        <v>45982</v>
      </c>
      <c r="H136" s="35" t="s">
        <v>25</v>
      </c>
    </row>
    <row r="137" spans="1:8" x14ac:dyDescent="0.25">
      <c r="A137" s="35" t="s">
        <v>47</v>
      </c>
      <c r="B137" s="35" t="s">
        <v>33</v>
      </c>
      <c r="C137" s="35">
        <v>349589</v>
      </c>
      <c r="D137" s="36">
        <v>45977</v>
      </c>
      <c r="E137" s="12">
        <f>((148683+87486)*0.88)+16624</f>
        <v>224452.72</v>
      </c>
      <c r="F137" s="35" t="s">
        <v>12</v>
      </c>
      <c r="G137" s="36">
        <v>45982</v>
      </c>
      <c r="H137" s="35" t="s">
        <v>25</v>
      </c>
    </row>
    <row r="138" spans="1:8" x14ac:dyDescent="0.25">
      <c r="A138" s="35" t="s">
        <v>47</v>
      </c>
      <c r="B138" s="35" t="s">
        <v>33</v>
      </c>
      <c r="C138" s="35">
        <v>349610</v>
      </c>
      <c r="D138" s="36">
        <v>45977</v>
      </c>
      <c r="E138" s="12">
        <v>196916</v>
      </c>
      <c r="F138" s="35" t="s">
        <v>12</v>
      </c>
      <c r="G138" s="36">
        <v>45982</v>
      </c>
      <c r="H138" s="35" t="s">
        <v>25</v>
      </c>
    </row>
    <row r="139" spans="1:8" x14ac:dyDescent="0.25">
      <c r="A139" s="35" t="s">
        <v>32</v>
      </c>
      <c r="B139" s="35" t="s">
        <v>33</v>
      </c>
      <c r="C139" s="35" t="s">
        <v>61</v>
      </c>
      <c r="D139" s="36">
        <v>45980</v>
      </c>
      <c r="E139" s="12">
        <v>241139</v>
      </c>
      <c r="F139" s="72" t="s">
        <v>12</v>
      </c>
      <c r="G139" s="36">
        <v>46030</v>
      </c>
      <c r="H139" s="35" t="s">
        <v>25</v>
      </c>
    </row>
    <row r="140" spans="1:8" x14ac:dyDescent="0.25">
      <c r="A140" s="35" t="s">
        <v>32</v>
      </c>
      <c r="B140" s="35" t="s">
        <v>33</v>
      </c>
      <c r="C140" s="35" t="s">
        <v>62</v>
      </c>
      <c r="D140" s="36">
        <v>45981</v>
      </c>
      <c r="E140" s="12">
        <v>732700</v>
      </c>
      <c r="F140" s="72" t="s">
        <v>12</v>
      </c>
      <c r="G140" s="36">
        <v>46030</v>
      </c>
      <c r="H140" s="35" t="s">
        <v>25</v>
      </c>
    </row>
    <row r="141" spans="1:8" x14ac:dyDescent="0.25">
      <c r="A141" s="35" t="s">
        <v>32</v>
      </c>
      <c r="B141" s="35" t="s">
        <v>33</v>
      </c>
      <c r="C141" s="35" t="s">
        <v>63</v>
      </c>
      <c r="D141" s="36">
        <v>45981</v>
      </c>
      <c r="E141" s="12">
        <v>34600</v>
      </c>
      <c r="F141" s="72" t="s">
        <v>12</v>
      </c>
      <c r="G141" s="36">
        <v>46030</v>
      </c>
      <c r="H141" s="35" t="s">
        <v>25</v>
      </c>
    </row>
    <row r="142" spans="1:8" x14ac:dyDescent="0.25">
      <c r="A142" s="35" t="s">
        <v>32</v>
      </c>
      <c r="B142" s="35" t="s">
        <v>33</v>
      </c>
      <c r="C142" s="52" t="s">
        <v>64</v>
      </c>
      <c r="D142" s="36">
        <v>45982</v>
      </c>
      <c r="E142" s="12">
        <v>720500</v>
      </c>
      <c r="F142" s="73" t="s">
        <v>13</v>
      </c>
      <c r="G142" s="36">
        <v>46030</v>
      </c>
      <c r="H142" s="35" t="s">
        <v>25</v>
      </c>
    </row>
    <row r="143" spans="1:8" x14ac:dyDescent="0.25">
      <c r="A143" s="35" t="s">
        <v>50</v>
      </c>
      <c r="B143" s="35" t="s">
        <v>33</v>
      </c>
      <c r="C143" s="35">
        <v>1353</v>
      </c>
      <c r="D143" s="36">
        <v>45988</v>
      </c>
      <c r="E143" s="12">
        <f>(564290*0.9)+17250</f>
        <v>525111</v>
      </c>
      <c r="F143" s="35" t="s">
        <v>12</v>
      </c>
      <c r="G143" s="36">
        <v>46049</v>
      </c>
      <c r="H143" s="35" t="s">
        <v>25</v>
      </c>
    </row>
    <row r="144" spans="1:8" x14ac:dyDescent="0.25">
      <c r="A144" s="35" t="s">
        <v>32</v>
      </c>
      <c r="B144" s="35" t="s">
        <v>33</v>
      </c>
      <c r="C144" s="52" t="s">
        <v>65</v>
      </c>
      <c r="D144" s="36">
        <v>45989</v>
      </c>
      <c r="E144" s="12">
        <v>1230166</v>
      </c>
      <c r="F144" s="73" t="s">
        <v>13</v>
      </c>
      <c r="G144" s="36">
        <v>46030</v>
      </c>
      <c r="H144" s="35" t="s">
        <v>25</v>
      </c>
    </row>
    <row r="145" spans="1:9" x14ac:dyDescent="0.25">
      <c r="A145" s="35" t="s">
        <v>47</v>
      </c>
      <c r="B145" s="35" t="s">
        <v>33</v>
      </c>
      <c r="C145" s="35">
        <v>354152</v>
      </c>
      <c r="D145" s="36">
        <v>45991</v>
      </c>
      <c r="E145" s="12">
        <v>195267</v>
      </c>
      <c r="F145" s="35" t="s">
        <v>12</v>
      </c>
      <c r="G145" s="36">
        <v>45996</v>
      </c>
      <c r="H145" s="35" t="s">
        <v>25</v>
      </c>
    </row>
    <row r="146" spans="1:9" x14ac:dyDescent="0.25">
      <c r="A146" s="35" t="s">
        <v>32</v>
      </c>
      <c r="B146" s="35" t="s">
        <v>33</v>
      </c>
      <c r="C146" s="52" t="s">
        <v>66</v>
      </c>
      <c r="D146" s="36">
        <v>45991</v>
      </c>
      <c r="E146" s="12">
        <v>1127700</v>
      </c>
      <c r="F146" s="73" t="s">
        <v>13</v>
      </c>
      <c r="G146" s="36">
        <v>46035</v>
      </c>
      <c r="H146" s="35" t="s">
        <v>25</v>
      </c>
    </row>
    <row r="147" spans="1:9" x14ac:dyDescent="0.25">
      <c r="A147" s="35" t="s">
        <v>4</v>
      </c>
      <c r="B147" s="35" t="s">
        <v>52</v>
      </c>
      <c r="C147" s="35" t="s">
        <v>60</v>
      </c>
      <c r="D147" s="36">
        <v>45991</v>
      </c>
      <c r="E147" s="12">
        <v>1030906</v>
      </c>
      <c r="F147" s="35" t="s">
        <v>13</v>
      </c>
      <c r="G147" s="36">
        <v>45992</v>
      </c>
      <c r="H147" s="35" t="s">
        <v>24</v>
      </c>
    </row>
    <row r="148" spans="1:9" x14ac:dyDescent="0.25">
      <c r="A148" s="35" t="s">
        <v>5</v>
      </c>
      <c r="B148" s="35" t="s">
        <v>52</v>
      </c>
      <c r="C148" s="35" t="s">
        <v>60</v>
      </c>
      <c r="D148" s="36">
        <v>45991</v>
      </c>
      <c r="E148" s="12">
        <v>1030906</v>
      </c>
      <c r="F148" s="35" t="s">
        <v>13</v>
      </c>
      <c r="G148" s="36">
        <v>45992</v>
      </c>
      <c r="H148" s="35" t="s">
        <v>24</v>
      </c>
    </row>
    <row r="149" spans="1:9" x14ac:dyDescent="0.25">
      <c r="A149" s="35" t="s">
        <v>55</v>
      </c>
      <c r="B149" s="35" t="s">
        <v>52</v>
      </c>
      <c r="C149" s="35" t="s">
        <v>60</v>
      </c>
      <c r="D149" s="36">
        <v>45991</v>
      </c>
      <c r="E149" s="12">
        <v>210000</v>
      </c>
      <c r="F149" s="35" t="s">
        <v>13</v>
      </c>
      <c r="G149" s="36">
        <v>45992</v>
      </c>
      <c r="H149" s="35" t="s">
        <v>24</v>
      </c>
    </row>
    <row r="150" spans="1:9" x14ac:dyDescent="0.25">
      <c r="A150" s="35" t="s">
        <v>51</v>
      </c>
      <c r="B150" s="35" t="s">
        <v>52</v>
      </c>
      <c r="C150" s="35" t="s">
        <v>60</v>
      </c>
      <c r="D150" s="36">
        <v>45991</v>
      </c>
      <c r="E150" s="12">
        <v>270000</v>
      </c>
      <c r="F150" s="35" t="s">
        <v>13</v>
      </c>
      <c r="G150" s="36">
        <v>45992</v>
      </c>
      <c r="H150" s="35" t="s">
        <v>24</v>
      </c>
    </row>
    <row r="151" spans="1:9" x14ac:dyDescent="0.25">
      <c r="A151" s="35" t="s">
        <v>47</v>
      </c>
      <c r="B151" s="35" t="s">
        <v>33</v>
      </c>
      <c r="C151" s="35">
        <v>355092</v>
      </c>
      <c r="D151" s="36">
        <v>45995</v>
      </c>
      <c r="E151" s="12">
        <f>((109722+209704)*0.88)+39844</f>
        <v>320938.88</v>
      </c>
      <c r="F151" s="35" t="s">
        <v>13</v>
      </c>
      <c r="G151" s="36">
        <v>45996</v>
      </c>
      <c r="H151" s="35" t="s">
        <v>25</v>
      </c>
    </row>
    <row r="152" spans="1:9" x14ac:dyDescent="0.25">
      <c r="A152" s="35" t="s">
        <v>47</v>
      </c>
      <c r="B152" s="35" t="s">
        <v>33</v>
      </c>
      <c r="C152" s="35">
        <v>355200</v>
      </c>
      <c r="D152" s="36">
        <v>45995</v>
      </c>
      <c r="E152" s="12">
        <v>1420946</v>
      </c>
      <c r="F152" s="35" t="s">
        <v>13</v>
      </c>
      <c r="G152" s="36">
        <v>45996</v>
      </c>
      <c r="H152" s="35" t="s">
        <v>25</v>
      </c>
    </row>
    <row r="153" spans="1:9" x14ac:dyDescent="0.25">
      <c r="A153" s="35" t="s">
        <v>32</v>
      </c>
      <c r="B153" s="35" t="s">
        <v>33</v>
      </c>
      <c r="C153" s="52" t="s">
        <v>67</v>
      </c>
      <c r="D153" s="36">
        <v>45995</v>
      </c>
      <c r="E153" s="12">
        <v>1440950</v>
      </c>
      <c r="F153" s="72" t="s">
        <v>12</v>
      </c>
      <c r="G153" s="36">
        <v>46035</v>
      </c>
      <c r="H153" s="35" t="s">
        <v>25</v>
      </c>
      <c r="I153" s="5"/>
    </row>
    <row r="154" spans="1:9" x14ac:dyDescent="0.25">
      <c r="A154" s="35" t="s">
        <v>32</v>
      </c>
      <c r="B154" s="35" t="s">
        <v>33</v>
      </c>
      <c r="C154" s="52" t="s">
        <v>69</v>
      </c>
      <c r="D154" s="36">
        <v>45997</v>
      </c>
      <c r="E154" s="12">
        <v>1450460</v>
      </c>
      <c r="F154" s="73" t="s">
        <v>13</v>
      </c>
      <c r="G154" s="36">
        <v>46042</v>
      </c>
      <c r="H154" s="35" t="s">
        <v>25</v>
      </c>
    </row>
    <row r="155" spans="1:9" x14ac:dyDescent="0.25">
      <c r="A155" s="35" t="s">
        <v>57</v>
      </c>
      <c r="B155" s="35" t="s">
        <v>33</v>
      </c>
      <c r="C155" s="35">
        <v>426334</v>
      </c>
      <c r="D155" s="36">
        <v>45999</v>
      </c>
      <c r="E155" s="12">
        <v>342912</v>
      </c>
      <c r="F155" s="35" t="s">
        <v>12</v>
      </c>
      <c r="G155" s="36">
        <v>46006</v>
      </c>
      <c r="H155" s="35" t="s">
        <v>25</v>
      </c>
    </row>
    <row r="156" spans="1:9" x14ac:dyDescent="0.25">
      <c r="A156" s="35" t="s">
        <v>45</v>
      </c>
      <c r="B156" s="35" t="s">
        <v>46</v>
      </c>
      <c r="C156" s="35" t="s">
        <v>68</v>
      </c>
      <c r="D156" s="36">
        <v>46001</v>
      </c>
      <c r="E156" s="12">
        <v>100000</v>
      </c>
      <c r="F156" s="35" t="s">
        <v>12</v>
      </c>
      <c r="G156" s="36">
        <v>46000</v>
      </c>
      <c r="H156" s="35" t="s">
        <v>24</v>
      </c>
    </row>
    <row r="157" spans="1:9" x14ac:dyDescent="0.25">
      <c r="A157" s="35" t="s">
        <v>4</v>
      </c>
      <c r="B157" s="35" t="s">
        <v>70</v>
      </c>
      <c r="C157" s="35" t="s">
        <v>68</v>
      </c>
      <c r="D157" s="36">
        <v>46001</v>
      </c>
      <c r="E157" s="12">
        <v>991710</v>
      </c>
      <c r="F157" s="35" t="s">
        <v>13</v>
      </c>
      <c r="G157" s="36">
        <v>46006</v>
      </c>
      <c r="H157" s="35" t="s">
        <v>24</v>
      </c>
    </row>
    <row r="158" spans="1:9" x14ac:dyDescent="0.25">
      <c r="A158" s="35" t="s">
        <v>5</v>
      </c>
      <c r="B158" s="35" t="s">
        <v>70</v>
      </c>
      <c r="C158" s="35" t="s">
        <v>68</v>
      </c>
      <c r="D158" s="36">
        <v>46001</v>
      </c>
      <c r="E158" s="12">
        <v>991710</v>
      </c>
      <c r="F158" s="35" t="s">
        <v>13</v>
      </c>
      <c r="G158" s="36">
        <v>46006</v>
      </c>
      <c r="H158" s="35" t="s">
        <v>24</v>
      </c>
    </row>
    <row r="159" spans="1:9" x14ac:dyDescent="0.25">
      <c r="A159" s="35" t="s">
        <v>48</v>
      </c>
      <c r="B159" s="35" t="s">
        <v>49</v>
      </c>
      <c r="C159" s="35">
        <v>7714670</v>
      </c>
      <c r="D159" s="36">
        <v>46002</v>
      </c>
      <c r="E159" s="12">
        <v>1795590</v>
      </c>
      <c r="F159" s="35" t="s">
        <v>12</v>
      </c>
      <c r="G159" s="36">
        <v>46001</v>
      </c>
      <c r="H159" s="35" t="s">
        <v>24</v>
      </c>
    </row>
    <row r="160" spans="1:9" x14ac:dyDescent="0.25">
      <c r="A160" s="35" t="s">
        <v>44</v>
      </c>
      <c r="B160" s="35">
        <v>894509</v>
      </c>
      <c r="C160" s="35" t="s">
        <v>68</v>
      </c>
      <c r="D160" s="36">
        <v>46003</v>
      </c>
      <c r="E160" s="12">
        <v>284451</v>
      </c>
      <c r="F160" s="35" t="s">
        <v>12</v>
      </c>
      <c r="G160" s="36">
        <v>46006</v>
      </c>
      <c r="H160" s="35" t="s">
        <v>24</v>
      </c>
    </row>
    <row r="161" spans="1:8" x14ac:dyDescent="0.25">
      <c r="A161" s="35" t="s">
        <v>32</v>
      </c>
      <c r="B161" s="35" t="s">
        <v>33</v>
      </c>
      <c r="C161" s="52" t="s">
        <v>71</v>
      </c>
      <c r="D161" s="36">
        <v>46003</v>
      </c>
      <c r="E161" s="12">
        <v>1493600</v>
      </c>
      <c r="F161" s="73" t="s">
        <v>13</v>
      </c>
      <c r="G161" s="36">
        <v>46043</v>
      </c>
      <c r="H161" s="35" t="s">
        <v>25</v>
      </c>
    </row>
    <row r="162" spans="1:8" x14ac:dyDescent="0.25">
      <c r="A162" s="35" t="s">
        <v>32</v>
      </c>
      <c r="B162" s="35" t="s">
        <v>33</v>
      </c>
      <c r="C162" s="52" t="s">
        <v>72</v>
      </c>
      <c r="D162" s="36">
        <v>46004</v>
      </c>
      <c r="E162" s="12">
        <v>715400</v>
      </c>
      <c r="F162" s="72" t="s">
        <v>12</v>
      </c>
      <c r="G162" s="36">
        <v>46045</v>
      </c>
      <c r="H162" s="35" t="s">
        <v>25</v>
      </c>
    </row>
    <row r="163" spans="1:8" x14ac:dyDescent="0.25">
      <c r="A163" s="35" t="s">
        <v>134</v>
      </c>
      <c r="B163" s="35" t="s">
        <v>135</v>
      </c>
      <c r="C163" s="35" t="s">
        <v>23</v>
      </c>
      <c r="D163" s="36">
        <v>46005</v>
      </c>
      <c r="E163" s="12">
        <f>1400000-340000-70000-240000-59000-280000-97000</f>
        <v>314000</v>
      </c>
      <c r="F163" s="35"/>
      <c r="G163" s="35"/>
      <c r="H163" s="35" t="s">
        <v>25</v>
      </c>
    </row>
    <row r="164" spans="1:8" x14ac:dyDescent="0.25">
      <c r="A164" s="35" t="s">
        <v>53</v>
      </c>
      <c r="B164" s="35" t="s">
        <v>54</v>
      </c>
      <c r="C164" s="35" t="s">
        <v>68</v>
      </c>
      <c r="D164" s="36">
        <v>46006</v>
      </c>
      <c r="E164" s="12">
        <v>119400</v>
      </c>
      <c r="F164" s="35" t="s">
        <v>13</v>
      </c>
      <c r="G164" s="36">
        <v>46006</v>
      </c>
      <c r="H164" s="35" t="s">
        <v>24</v>
      </c>
    </row>
    <row r="165" spans="1:8" x14ac:dyDescent="0.25">
      <c r="A165" s="35" t="s">
        <v>4</v>
      </c>
      <c r="B165" s="35" t="s">
        <v>52</v>
      </c>
      <c r="C165" s="35" t="s">
        <v>68</v>
      </c>
      <c r="D165" s="36">
        <v>46006</v>
      </c>
      <c r="E165" s="12">
        <v>1083167</v>
      </c>
      <c r="F165" s="35" t="s">
        <v>13</v>
      </c>
      <c r="G165" s="36">
        <v>46006</v>
      </c>
      <c r="H165" s="35" t="s">
        <v>24</v>
      </c>
    </row>
    <row r="166" spans="1:8" x14ac:dyDescent="0.25">
      <c r="A166" s="35" t="s">
        <v>5</v>
      </c>
      <c r="B166" s="35" t="s">
        <v>52</v>
      </c>
      <c r="C166" s="35" t="s">
        <v>68</v>
      </c>
      <c r="D166" s="36">
        <v>46006</v>
      </c>
      <c r="E166" s="12">
        <v>991710</v>
      </c>
      <c r="F166" s="35" t="s">
        <v>13</v>
      </c>
      <c r="G166" s="36">
        <v>46006</v>
      </c>
      <c r="H166" s="35" t="s">
        <v>24</v>
      </c>
    </row>
    <row r="167" spans="1:8" x14ac:dyDescent="0.25">
      <c r="A167" s="35" t="s">
        <v>55</v>
      </c>
      <c r="B167" s="35" t="s">
        <v>52</v>
      </c>
      <c r="C167" s="35" t="s">
        <v>68</v>
      </c>
      <c r="D167" s="36">
        <v>46006</v>
      </c>
      <c r="E167" s="12">
        <v>210000</v>
      </c>
      <c r="F167" s="35" t="s">
        <v>13</v>
      </c>
      <c r="G167" s="36">
        <v>46006</v>
      </c>
      <c r="H167" s="35" t="s">
        <v>24</v>
      </c>
    </row>
    <row r="168" spans="1:8" x14ac:dyDescent="0.25">
      <c r="A168" s="35" t="s">
        <v>55</v>
      </c>
      <c r="B168" s="35" t="s">
        <v>70</v>
      </c>
      <c r="C168" s="35" t="s">
        <v>68</v>
      </c>
      <c r="D168" s="36">
        <v>46006</v>
      </c>
      <c r="E168" s="12">
        <v>210000</v>
      </c>
      <c r="F168" s="35" t="s">
        <v>13</v>
      </c>
      <c r="G168" s="36">
        <v>46006</v>
      </c>
      <c r="H168" s="35" t="s">
        <v>24</v>
      </c>
    </row>
    <row r="169" spans="1:8" x14ac:dyDescent="0.25">
      <c r="A169" s="35" t="s">
        <v>51</v>
      </c>
      <c r="B169" s="35" t="s">
        <v>52</v>
      </c>
      <c r="C169" s="35" t="s">
        <v>68</v>
      </c>
      <c r="D169" s="36">
        <v>46006</v>
      </c>
      <c r="E169" s="12">
        <v>150000</v>
      </c>
      <c r="F169" s="35" t="s">
        <v>13</v>
      </c>
      <c r="G169" s="36">
        <v>46006</v>
      </c>
      <c r="H169" s="35" t="s">
        <v>24</v>
      </c>
    </row>
    <row r="170" spans="1:8" x14ac:dyDescent="0.25">
      <c r="A170" s="35" t="s">
        <v>51</v>
      </c>
      <c r="B170" s="35" t="s">
        <v>70</v>
      </c>
      <c r="C170" s="35" t="s">
        <v>68</v>
      </c>
      <c r="D170" s="36">
        <v>46006</v>
      </c>
      <c r="E170" s="12">
        <v>150000</v>
      </c>
      <c r="F170" s="35" t="s">
        <v>13</v>
      </c>
      <c r="G170" s="36">
        <v>46021</v>
      </c>
      <c r="H170" s="35"/>
    </row>
    <row r="171" spans="1:8" x14ac:dyDescent="0.25">
      <c r="A171" s="35" t="s">
        <v>32</v>
      </c>
      <c r="B171" s="35" t="s">
        <v>33</v>
      </c>
      <c r="C171" s="52" t="s">
        <v>73</v>
      </c>
      <c r="D171" s="36">
        <v>46006</v>
      </c>
      <c r="E171" s="12">
        <v>1210300</v>
      </c>
      <c r="F171" s="72" t="s">
        <v>12</v>
      </c>
      <c r="G171" s="36">
        <v>46045</v>
      </c>
      <c r="H171" s="35" t="s">
        <v>25</v>
      </c>
    </row>
    <row r="172" spans="1:8" x14ac:dyDescent="0.25">
      <c r="A172" s="35" t="s">
        <v>32</v>
      </c>
      <c r="B172" s="35" t="s">
        <v>33</v>
      </c>
      <c r="C172" s="52" t="s">
        <v>74</v>
      </c>
      <c r="D172" s="36">
        <v>46006</v>
      </c>
      <c r="E172" s="12">
        <v>86400</v>
      </c>
      <c r="F172" s="72" t="s">
        <v>12</v>
      </c>
      <c r="G172" s="36">
        <v>46045</v>
      </c>
      <c r="H172" s="35" t="s">
        <v>25</v>
      </c>
    </row>
    <row r="173" spans="1:8" x14ac:dyDescent="0.25">
      <c r="A173" s="35" t="s">
        <v>32</v>
      </c>
      <c r="B173" s="35" t="s">
        <v>33</v>
      </c>
      <c r="C173" s="52" t="s">
        <v>75</v>
      </c>
      <c r="D173" s="36">
        <v>46009</v>
      </c>
      <c r="E173" s="12">
        <v>663765</v>
      </c>
      <c r="F173" s="73" t="s">
        <v>13</v>
      </c>
      <c r="G173" s="36">
        <v>46049</v>
      </c>
      <c r="H173" s="35" t="s">
        <v>25</v>
      </c>
    </row>
    <row r="174" spans="1:8" x14ac:dyDescent="0.25">
      <c r="A174" s="35" t="s">
        <v>32</v>
      </c>
      <c r="B174" s="35" t="s">
        <v>33</v>
      </c>
      <c r="C174" s="52" t="s">
        <v>76</v>
      </c>
      <c r="D174" s="36">
        <v>46009</v>
      </c>
      <c r="E174" s="12">
        <v>1603450</v>
      </c>
      <c r="F174" s="73" t="s">
        <v>13</v>
      </c>
      <c r="G174" s="36">
        <v>46049</v>
      </c>
      <c r="H174" s="35" t="s">
        <v>25</v>
      </c>
    </row>
    <row r="175" spans="1:8" x14ac:dyDescent="0.25">
      <c r="A175" s="35" t="s">
        <v>57</v>
      </c>
      <c r="B175" s="35" t="s">
        <v>33</v>
      </c>
      <c r="C175" s="35">
        <v>429237</v>
      </c>
      <c r="D175" s="36">
        <v>46010</v>
      </c>
      <c r="E175" s="12">
        <v>1174213</v>
      </c>
      <c r="F175" s="35" t="s">
        <v>13</v>
      </c>
      <c r="G175" s="36">
        <v>46027</v>
      </c>
      <c r="H175" s="35" t="s">
        <v>25</v>
      </c>
    </row>
    <row r="176" spans="1:8" x14ac:dyDescent="0.25">
      <c r="A176" s="35" t="s">
        <v>57</v>
      </c>
      <c r="B176" s="35" t="s">
        <v>33</v>
      </c>
      <c r="C176" s="35">
        <v>429252</v>
      </c>
      <c r="D176" s="36">
        <v>46010</v>
      </c>
      <c r="E176" s="12">
        <v>699647</v>
      </c>
      <c r="F176" s="35" t="s">
        <v>13</v>
      </c>
      <c r="G176" s="36">
        <v>46027</v>
      </c>
      <c r="H176" s="35" t="s">
        <v>25</v>
      </c>
    </row>
    <row r="177" spans="1:8" x14ac:dyDescent="0.25">
      <c r="A177" s="35" t="s">
        <v>47</v>
      </c>
      <c r="B177" s="35" t="s">
        <v>33</v>
      </c>
      <c r="C177" s="35">
        <v>361342</v>
      </c>
      <c r="D177" s="36">
        <v>46011</v>
      </c>
      <c r="E177" s="12">
        <f>158714*0.88</f>
        <v>139668.32</v>
      </c>
      <c r="F177" s="35" t="s">
        <v>12</v>
      </c>
      <c r="G177" s="36">
        <v>46017</v>
      </c>
      <c r="H177" s="35" t="s">
        <v>25</v>
      </c>
    </row>
    <row r="178" spans="1:8" x14ac:dyDescent="0.25">
      <c r="A178" s="35" t="s">
        <v>47</v>
      </c>
      <c r="B178" s="35" t="s">
        <v>33</v>
      </c>
      <c r="C178" s="35">
        <v>361373</v>
      </c>
      <c r="D178" s="36">
        <v>46011</v>
      </c>
      <c r="E178" s="12">
        <f>(94425*0.88)+17941</f>
        <v>101035</v>
      </c>
      <c r="F178" s="35" t="s">
        <v>12</v>
      </c>
      <c r="G178" s="36">
        <v>46017</v>
      </c>
      <c r="H178" s="35" t="s">
        <v>25</v>
      </c>
    </row>
    <row r="179" spans="1:8" x14ac:dyDescent="0.25">
      <c r="A179" s="35" t="s">
        <v>47</v>
      </c>
      <c r="B179" s="35" t="s">
        <v>33</v>
      </c>
      <c r="C179" s="35">
        <v>361531</v>
      </c>
      <c r="D179" s="36">
        <v>46012</v>
      </c>
      <c r="E179" s="12">
        <f>83346*0.88</f>
        <v>73344.479999999996</v>
      </c>
      <c r="F179" s="35" t="s">
        <v>12</v>
      </c>
      <c r="G179" s="36">
        <v>46017</v>
      </c>
      <c r="H179" s="35" t="s">
        <v>25</v>
      </c>
    </row>
    <row r="180" spans="1:8" x14ac:dyDescent="0.25">
      <c r="A180" s="35" t="s">
        <v>47</v>
      </c>
      <c r="B180" s="35" t="s">
        <v>33</v>
      </c>
      <c r="C180" s="35">
        <v>361548</v>
      </c>
      <c r="D180" s="36">
        <v>46012</v>
      </c>
      <c r="E180" s="12">
        <v>866785</v>
      </c>
      <c r="F180" s="35" t="s">
        <v>12</v>
      </c>
      <c r="G180" s="36">
        <v>46017</v>
      </c>
      <c r="H180" s="35" t="s">
        <v>25</v>
      </c>
    </row>
    <row r="181" spans="1:8" x14ac:dyDescent="0.25">
      <c r="A181" s="35" t="s">
        <v>47</v>
      </c>
      <c r="B181" s="35" t="s">
        <v>33</v>
      </c>
      <c r="C181" s="35">
        <v>361555</v>
      </c>
      <c r="D181" s="36">
        <v>46012</v>
      </c>
      <c r="E181" s="12">
        <f>((456153+396683)*0.88)+75369</f>
        <v>825864.68</v>
      </c>
      <c r="F181" s="35" t="s">
        <v>12</v>
      </c>
      <c r="G181" s="36">
        <v>46017</v>
      </c>
      <c r="H181" s="35" t="s">
        <v>25</v>
      </c>
    </row>
    <row r="182" spans="1:8" x14ac:dyDescent="0.25">
      <c r="A182" s="35" t="s">
        <v>32</v>
      </c>
      <c r="B182" s="35" t="s">
        <v>33</v>
      </c>
      <c r="C182" s="52" t="s">
        <v>77</v>
      </c>
      <c r="D182" s="36">
        <v>46012</v>
      </c>
      <c r="E182" s="12">
        <v>1282960</v>
      </c>
      <c r="F182" s="72" t="s">
        <v>12</v>
      </c>
      <c r="G182" s="36">
        <v>46071</v>
      </c>
      <c r="H182" s="35" t="s">
        <v>25</v>
      </c>
    </row>
    <row r="183" spans="1:8" x14ac:dyDescent="0.25">
      <c r="A183" s="35" t="s">
        <v>32</v>
      </c>
      <c r="B183" s="35" t="s">
        <v>33</v>
      </c>
      <c r="C183" s="52" t="s">
        <v>78</v>
      </c>
      <c r="D183" s="36">
        <v>46012</v>
      </c>
      <c r="E183" s="12">
        <v>330900</v>
      </c>
      <c r="F183" s="72" t="s">
        <v>12</v>
      </c>
      <c r="G183" s="36">
        <v>46071</v>
      </c>
      <c r="H183" s="35" t="s">
        <v>25</v>
      </c>
    </row>
    <row r="184" spans="1:8" x14ac:dyDescent="0.25">
      <c r="A184" s="35" t="s">
        <v>32</v>
      </c>
      <c r="B184" s="35" t="s">
        <v>33</v>
      </c>
      <c r="C184" s="52" t="s">
        <v>79</v>
      </c>
      <c r="D184" s="36">
        <v>46015</v>
      </c>
      <c r="E184" s="12">
        <v>1218100</v>
      </c>
      <c r="F184" s="73" t="s">
        <v>13</v>
      </c>
      <c r="G184" s="36">
        <v>46071</v>
      </c>
      <c r="H184" s="35" t="s">
        <v>25</v>
      </c>
    </row>
    <row r="185" spans="1:8" x14ac:dyDescent="0.25">
      <c r="A185" s="35" t="s">
        <v>32</v>
      </c>
      <c r="B185" s="35" t="s">
        <v>33</v>
      </c>
      <c r="C185" s="52" t="s">
        <v>80</v>
      </c>
      <c r="D185" s="36">
        <v>46017</v>
      </c>
      <c r="E185" s="12">
        <v>1274200</v>
      </c>
      <c r="F185" s="73" t="s">
        <v>13</v>
      </c>
      <c r="G185" s="36">
        <v>46071</v>
      </c>
      <c r="H185" s="35" t="s">
        <v>25</v>
      </c>
    </row>
    <row r="186" spans="1:8" x14ac:dyDescent="0.25">
      <c r="A186" s="35" t="s">
        <v>32</v>
      </c>
      <c r="B186" s="35" t="s">
        <v>33</v>
      </c>
      <c r="C186" s="52" t="s">
        <v>156</v>
      </c>
      <c r="D186" s="36">
        <v>46018</v>
      </c>
      <c r="E186" s="12">
        <v>226000</v>
      </c>
      <c r="F186" s="73" t="s">
        <v>13</v>
      </c>
      <c r="G186" s="36">
        <v>46071</v>
      </c>
      <c r="H186" s="35" t="s">
        <v>25</v>
      </c>
    </row>
    <row r="187" spans="1:8" x14ac:dyDescent="0.25">
      <c r="A187" s="35" t="s">
        <v>32</v>
      </c>
      <c r="B187" s="35" t="s">
        <v>33</v>
      </c>
      <c r="C187" s="52" t="s">
        <v>81</v>
      </c>
      <c r="D187" s="36">
        <v>46018</v>
      </c>
      <c r="E187" s="12">
        <v>594500</v>
      </c>
      <c r="F187" s="73" t="s">
        <v>13</v>
      </c>
      <c r="G187" s="36">
        <v>46071</v>
      </c>
      <c r="H187" s="35" t="s">
        <v>25</v>
      </c>
    </row>
    <row r="188" spans="1:8" x14ac:dyDescent="0.25">
      <c r="A188" s="35" t="s">
        <v>4</v>
      </c>
      <c r="B188" s="35" t="s">
        <v>52</v>
      </c>
      <c r="C188" s="35" t="s">
        <v>68</v>
      </c>
      <c r="D188" s="36">
        <v>46021</v>
      </c>
      <c r="E188" s="12">
        <v>1030906</v>
      </c>
      <c r="F188" s="35" t="s">
        <v>13</v>
      </c>
      <c r="G188" s="36">
        <v>46021</v>
      </c>
      <c r="H188" s="35" t="s">
        <v>24</v>
      </c>
    </row>
    <row r="189" spans="1:8" x14ac:dyDescent="0.25">
      <c r="A189" s="35" t="s">
        <v>5</v>
      </c>
      <c r="B189" s="35" t="s">
        <v>52</v>
      </c>
      <c r="C189" s="35" t="s">
        <v>68</v>
      </c>
      <c r="D189" s="36">
        <v>46021</v>
      </c>
      <c r="E189" s="12">
        <v>1030906</v>
      </c>
      <c r="F189" s="35" t="s">
        <v>13</v>
      </c>
      <c r="G189" s="36">
        <v>46021</v>
      </c>
      <c r="H189" s="35" t="s">
        <v>24</v>
      </c>
    </row>
    <row r="190" spans="1:8" x14ac:dyDescent="0.25">
      <c r="A190" s="35" t="s">
        <v>51</v>
      </c>
      <c r="B190" s="35" t="s">
        <v>52</v>
      </c>
      <c r="C190" s="35" t="s">
        <v>68</v>
      </c>
      <c r="D190" s="36">
        <v>46021</v>
      </c>
      <c r="E190" s="12">
        <v>210000</v>
      </c>
      <c r="F190" s="35" t="s">
        <v>13</v>
      </c>
      <c r="G190" s="36">
        <v>46021</v>
      </c>
      <c r="H190" s="35" t="s">
        <v>24</v>
      </c>
    </row>
    <row r="191" spans="1:8" x14ac:dyDescent="0.25">
      <c r="A191" s="35" t="s">
        <v>47</v>
      </c>
      <c r="B191" s="35" t="s">
        <v>33</v>
      </c>
      <c r="C191" s="35">
        <v>364592</v>
      </c>
      <c r="D191" s="36">
        <v>46022</v>
      </c>
      <c r="E191" s="12">
        <v>201362</v>
      </c>
      <c r="F191" s="35" t="s">
        <v>12</v>
      </c>
      <c r="G191" s="36">
        <v>46030</v>
      </c>
      <c r="H191" s="35" t="s">
        <v>25</v>
      </c>
    </row>
    <row r="192" spans="1:8" x14ac:dyDescent="0.25">
      <c r="A192" s="35" t="s">
        <v>32</v>
      </c>
      <c r="B192" s="35" t="s">
        <v>33</v>
      </c>
      <c r="C192" s="52" t="s">
        <v>82</v>
      </c>
      <c r="D192" s="36">
        <v>46022</v>
      </c>
      <c r="E192" s="12">
        <v>1578194</v>
      </c>
      <c r="F192" s="73" t="s">
        <v>13</v>
      </c>
      <c r="G192" s="36">
        <v>46071</v>
      </c>
      <c r="H192" s="35" t="s">
        <v>25</v>
      </c>
    </row>
    <row r="193" spans="1:8" x14ac:dyDescent="0.25">
      <c r="A193" s="35" t="s">
        <v>32</v>
      </c>
      <c r="B193" s="35" t="s">
        <v>33</v>
      </c>
      <c r="C193" s="52" t="s">
        <v>83</v>
      </c>
      <c r="D193" s="36">
        <v>46023</v>
      </c>
      <c r="E193" s="12">
        <v>1076390</v>
      </c>
      <c r="F193" s="73" t="s">
        <v>13</v>
      </c>
      <c r="G193" s="36">
        <v>46071</v>
      </c>
      <c r="H193" s="35" t="s">
        <v>25</v>
      </c>
    </row>
    <row r="194" spans="1:8" x14ac:dyDescent="0.25">
      <c r="A194" s="35" t="s">
        <v>47</v>
      </c>
      <c r="B194" s="35" t="s">
        <v>33</v>
      </c>
      <c r="C194" s="35">
        <v>365933</v>
      </c>
      <c r="D194" s="36">
        <v>46025</v>
      </c>
      <c r="E194" s="12">
        <v>282500</v>
      </c>
      <c r="F194" s="35" t="s">
        <v>12</v>
      </c>
      <c r="G194" s="36">
        <v>46030</v>
      </c>
      <c r="H194" s="35" t="s">
        <v>25</v>
      </c>
    </row>
    <row r="195" spans="1:8" x14ac:dyDescent="0.25">
      <c r="A195" s="35" t="s">
        <v>47</v>
      </c>
      <c r="B195" s="35" t="s">
        <v>33</v>
      </c>
      <c r="C195" s="35">
        <v>365934</v>
      </c>
      <c r="D195" s="36">
        <v>46025</v>
      </c>
      <c r="E195" s="12">
        <f>139019*0.88</f>
        <v>122336.72</v>
      </c>
      <c r="F195" s="35" t="s">
        <v>12</v>
      </c>
      <c r="G195" s="36">
        <v>46030</v>
      </c>
      <c r="H195" s="35" t="s">
        <v>25</v>
      </c>
    </row>
    <row r="196" spans="1:8" x14ac:dyDescent="0.25">
      <c r="A196" s="35" t="s">
        <v>32</v>
      </c>
      <c r="B196" s="35" t="s">
        <v>33</v>
      </c>
      <c r="C196" s="52" t="s">
        <v>84</v>
      </c>
      <c r="D196" s="36">
        <v>46025</v>
      </c>
      <c r="E196" s="12">
        <v>1554500</v>
      </c>
      <c r="F196" s="73" t="s">
        <v>13</v>
      </c>
      <c r="G196" s="36">
        <v>46071</v>
      </c>
      <c r="H196" s="35" t="s">
        <v>25</v>
      </c>
    </row>
    <row r="197" spans="1:8" x14ac:dyDescent="0.25">
      <c r="A197" s="35" t="s">
        <v>32</v>
      </c>
      <c r="B197" s="35" t="s">
        <v>33</v>
      </c>
      <c r="C197" s="52" t="s">
        <v>85</v>
      </c>
      <c r="D197" s="36">
        <v>46025</v>
      </c>
      <c r="E197" s="12">
        <v>171900</v>
      </c>
      <c r="F197" s="73" t="s">
        <v>13</v>
      </c>
      <c r="G197" s="36">
        <v>46071</v>
      </c>
      <c r="H197" s="35" t="s">
        <v>25</v>
      </c>
    </row>
    <row r="198" spans="1:8" x14ac:dyDescent="0.25">
      <c r="A198" s="35" t="s">
        <v>47</v>
      </c>
      <c r="B198" s="35" t="s">
        <v>33</v>
      </c>
      <c r="C198" s="35">
        <v>366874</v>
      </c>
      <c r="D198" s="36">
        <v>46027</v>
      </c>
      <c r="E198" s="12">
        <v>116024</v>
      </c>
      <c r="F198" s="35" t="s">
        <v>12</v>
      </c>
      <c r="G198" s="36">
        <v>46042</v>
      </c>
      <c r="H198" s="35" t="s">
        <v>25</v>
      </c>
    </row>
    <row r="199" spans="1:8" x14ac:dyDescent="0.25">
      <c r="A199" s="35" t="s">
        <v>47</v>
      </c>
      <c r="B199" s="35" t="s">
        <v>33</v>
      </c>
      <c r="C199" s="35">
        <v>366894</v>
      </c>
      <c r="D199" s="36">
        <v>46027</v>
      </c>
      <c r="E199" s="12">
        <v>179294</v>
      </c>
      <c r="F199" s="35" t="s">
        <v>12</v>
      </c>
      <c r="G199" s="36">
        <v>46042</v>
      </c>
      <c r="H199" s="35" t="s">
        <v>25</v>
      </c>
    </row>
    <row r="200" spans="1:8" x14ac:dyDescent="0.25">
      <c r="A200" s="35" t="s">
        <v>58</v>
      </c>
      <c r="B200" s="35" t="s">
        <v>59</v>
      </c>
      <c r="C200" s="35" t="s">
        <v>86</v>
      </c>
      <c r="D200" s="36">
        <v>46027</v>
      </c>
      <c r="E200" s="12">
        <v>3000000</v>
      </c>
      <c r="F200" s="35" t="s">
        <v>12</v>
      </c>
      <c r="G200" s="36">
        <v>46027</v>
      </c>
      <c r="H200" s="35" t="s">
        <v>24</v>
      </c>
    </row>
    <row r="201" spans="1:8" x14ac:dyDescent="0.25">
      <c r="A201" s="35" t="s">
        <v>32</v>
      </c>
      <c r="B201" s="35" t="s">
        <v>33</v>
      </c>
      <c r="C201" s="52" t="s">
        <v>87</v>
      </c>
      <c r="D201" s="36">
        <v>46027</v>
      </c>
      <c r="E201" s="12">
        <v>987190</v>
      </c>
      <c r="F201" s="73" t="s">
        <v>13</v>
      </c>
      <c r="G201" s="36">
        <v>46071</v>
      </c>
      <c r="H201" s="35" t="s">
        <v>25</v>
      </c>
    </row>
    <row r="202" spans="1:8" x14ac:dyDescent="0.25">
      <c r="A202" s="35" t="s">
        <v>32</v>
      </c>
      <c r="B202" s="35" t="s">
        <v>33</v>
      </c>
      <c r="C202" s="52" t="s">
        <v>88</v>
      </c>
      <c r="D202" s="36">
        <v>46029</v>
      </c>
      <c r="E202" s="12">
        <v>87000</v>
      </c>
      <c r="F202" s="73" t="s">
        <v>13</v>
      </c>
      <c r="G202" s="36">
        <v>46071</v>
      </c>
      <c r="H202" s="35" t="s">
        <v>25</v>
      </c>
    </row>
    <row r="203" spans="1:8" x14ac:dyDescent="0.25">
      <c r="A203" s="35" t="s">
        <v>32</v>
      </c>
      <c r="B203" s="35" t="s">
        <v>33</v>
      </c>
      <c r="C203" s="52" t="s">
        <v>89</v>
      </c>
      <c r="D203" s="36">
        <v>46031</v>
      </c>
      <c r="E203" s="12">
        <v>1530000</v>
      </c>
      <c r="F203" s="73" t="s">
        <v>13</v>
      </c>
      <c r="G203" s="36">
        <v>46073</v>
      </c>
      <c r="H203" s="35" t="s">
        <v>25</v>
      </c>
    </row>
    <row r="204" spans="1:8" x14ac:dyDescent="0.25">
      <c r="A204" s="35" t="s">
        <v>45</v>
      </c>
      <c r="B204" s="35" t="s">
        <v>46</v>
      </c>
      <c r="C204" s="35" t="s">
        <v>86</v>
      </c>
      <c r="D204" s="36">
        <v>46032</v>
      </c>
      <c r="E204" s="12">
        <v>100000</v>
      </c>
      <c r="F204" s="35" t="s">
        <v>12</v>
      </c>
      <c r="G204" s="36">
        <v>46033</v>
      </c>
      <c r="H204" s="35" t="s">
        <v>24</v>
      </c>
    </row>
    <row r="205" spans="1:8" x14ac:dyDescent="0.25">
      <c r="A205" s="35" t="s">
        <v>44</v>
      </c>
      <c r="B205" s="35">
        <v>894509</v>
      </c>
      <c r="C205" s="35" t="s">
        <v>86</v>
      </c>
      <c r="D205" s="36">
        <v>46033</v>
      </c>
      <c r="E205" s="12">
        <v>308592</v>
      </c>
      <c r="F205" s="35" t="s">
        <v>12</v>
      </c>
      <c r="G205" s="36">
        <v>46035</v>
      </c>
      <c r="H205" s="35" t="s">
        <v>24</v>
      </c>
    </row>
    <row r="206" spans="1:8" x14ac:dyDescent="0.25">
      <c r="A206" s="35" t="s">
        <v>32</v>
      </c>
      <c r="B206" s="35" t="s">
        <v>33</v>
      </c>
      <c r="C206" s="52" t="s">
        <v>90</v>
      </c>
      <c r="D206" s="36">
        <v>46033</v>
      </c>
      <c r="E206" s="12">
        <v>1479500</v>
      </c>
      <c r="F206" s="72" t="s">
        <v>12</v>
      </c>
      <c r="G206" s="36">
        <v>46073</v>
      </c>
      <c r="H206" s="35" t="s">
        <v>25</v>
      </c>
    </row>
    <row r="207" spans="1:8" x14ac:dyDescent="0.25">
      <c r="A207" s="35" t="s">
        <v>48</v>
      </c>
      <c r="B207" s="35">
        <v>7714670</v>
      </c>
      <c r="C207" s="35" t="s">
        <v>86</v>
      </c>
      <c r="D207" s="36">
        <v>46035</v>
      </c>
      <c r="E207" s="12">
        <v>2311920</v>
      </c>
      <c r="F207" s="35" t="s">
        <v>12</v>
      </c>
      <c r="G207" s="36">
        <v>46035</v>
      </c>
      <c r="H207" s="35" t="s">
        <v>24</v>
      </c>
    </row>
    <row r="208" spans="1:8" x14ac:dyDescent="0.25">
      <c r="A208" s="35" t="s">
        <v>32</v>
      </c>
      <c r="B208" s="35" t="s">
        <v>33</v>
      </c>
      <c r="C208" s="52" t="s">
        <v>91</v>
      </c>
      <c r="D208" s="36">
        <v>46036</v>
      </c>
      <c r="E208" s="12">
        <v>1869720</v>
      </c>
      <c r="F208" s="73" t="s">
        <v>13</v>
      </c>
      <c r="G208" s="36">
        <v>46086</v>
      </c>
      <c r="H208" s="35" t="s">
        <v>25</v>
      </c>
    </row>
    <row r="209" spans="1:8" x14ac:dyDescent="0.25">
      <c r="A209" s="35" t="s">
        <v>32</v>
      </c>
      <c r="B209" s="35" t="s">
        <v>33</v>
      </c>
      <c r="C209" s="52" t="s">
        <v>92</v>
      </c>
      <c r="D209" s="36">
        <v>46036</v>
      </c>
      <c r="E209" s="12">
        <v>163500</v>
      </c>
      <c r="F209" s="73" t="s">
        <v>13</v>
      </c>
      <c r="G209" s="36">
        <v>46086</v>
      </c>
      <c r="H209" s="35" t="s">
        <v>25</v>
      </c>
    </row>
    <row r="210" spans="1:8" x14ac:dyDescent="0.25">
      <c r="A210" s="35" t="s">
        <v>53</v>
      </c>
      <c r="B210" s="35" t="s">
        <v>54</v>
      </c>
      <c r="C210" s="35" t="s">
        <v>86</v>
      </c>
      <c r="D210" s="36">
        <v>46037</v>
      </c>
      <c r="E210" s="12">
        <v>164739</v>
      </c>
      <c r="F210" s="35" t="s">
        <v>12</v>
      </c>
      <c r="G210" s="36">
        <v>46036</v>
      </c>
      <c r="H210" s="35" t="s">
        <v>24</v>
      </c>
    </row>
    <row r="211" spans="1:8" x14ac:dyDescent="0.25">
      <c r="A211" s="35" t="s">
        <v>4</v>
      </c>
      <c r="B211" s="35" t="s">
        <v>52</v>
      </c>
      <c r="C211" s="35" t="s">
        <v>86</v>
      </c>
      <c r="D211" s="36">
        <v>46037</v>
      </c>
      <c r="E211" s="12">
        <v>1500000</v>
      </c>
      <c r="F211" s="35" t="s">
        <v>13</v>
      </c>
      <c r="G211" s="36">
        <v>46037</v>
      </c>
      <c r="H211" s="35" t="s">
        <v>24</v>
      </c>
    </row>
    <row r="212" spans="1:8" x14ac:dyDescent="0.25">
      <c r="A212" s="35" t="s">
        <v>5</v>
      </c>
      <c r="B212" s="35" t="s">
        <v>52</v>
      </c>
      <c r="C212" s="35" t="s">
        <v>86</v>
      </c>
      <c r="D212" s="36">
        <v>46037</v>
      </c>
      <c r="E212" s="12">
        <v>1500000</v>
      </c>
      <c r="F212" s="35" t="s">
        <v>13</v>
      </c>
      <c r="G212" s="36">
        <v>46037</v>
      </c>
      <c r="H212" s="35" t="s">
        <v>24</v>
      </c>
    </row>
    <row r="213" spans="1:8" x14ac:dyDescent="0.25">
      <c r="A213" s="35" t="s">
        <v>51</v>
      </c>
      <c r="B213" s="35" t="s">
        <v>52</v>
      </c>
      <c r="C213" s="35" t="s">
        <v>86</v>
      </c>
      <c r="D213" s="36">
        <v>46037</v>
      </c>
      <c r="E213" s="12">
        <v>210000</v>
      </c>
      <c r="F213" s="35" t="s">
        <v>13</v>
      </c>
      <c r="G213" s="36">
        <v>46037</v>
      </c>
      <c r="H213" s="35" t="s">
        <v>24</v>
      </c>
    </row>
    <row r="214" spans="1:8" x14ac:dyDescent="0.25">
      <c r="A214" s="35" t="s">
        <v>93</v>
      </c>
      <c r="B214" s="35" t="s">
        <v>52</v>
      </c>
      <c r="C214" s="35" t="s">
        <v>86</v>
      </c>
      <c r="D214" s="36">
        <v>46037</v>
      </c>
      <c r="E214" s="12">
        <v>190000</v>
      </c>
      <c r="F214" s="35" t="s">
        <v>13</v>
      </c>
      <c r="G214" s="36">
        <v>46037</v>
      </c>
      <c r="H214" s="35" t="s">
        <v>24</v>
      </c>
    </row>
    <row r="215" spans="1:8" x14ac:dyDescent="0.25">
      <c r="A215" s="35" t="s">
        <v>94</v>
      </c>
      <c r="B215" s="35" t="s">
        <v>52</v>
      </c>
      <c r="C215" s="35" t="s">
        <v>86</v>
      </c>
      <c r="D215" s="36">
        <v>46037</v>
      </c>
      <c r="E215" s="12">
        <v>0</v>
      </c>
      <c r="F215" s="35" t="s">
        <v>13</v>
      </c>
      <c r="G215" s="36">
        <v>46037</v>
      </c>
      <c r="H215" s="35" t="s">
        <v>24</v>
      </c>
    </row>
    <row r="216" spans="1:8" x14ac:dyDescent="0.25">
      <c r="A216" s="35" t="s">
        <v>136</v>
      </c>
      <c r="B216" s="35" t="s">
        <v>154</v>
      </c>
      <c r="C216" s="35" t="s">
        <v>86</v>
      </c>
      <c r="D216" s="36">
        <v>46037</v>
      </c>
      <c r="E216" s="12">
        <v>500000</v>
      </c>
      <c r="F216" s="35" t="s">
        <v>13</v>
      </c>
      <c r="G216" s="36">
        <v>46037</v>
      </c>
      <c r="H216" s="35" t="s">
        <v>137</v>
      </c>
    </row>
    <row r="217" spans="1:8" x14ac:dyDescent="0.25">
      <c r="A217" s="35" t="s">
        <v>32</v>
      </c>
      <c r="B217" s="35" t="s">
        <v>33</v>
      </c>
      <c r="C217" s="52" t="s">
        <v>95</v>
      </c>
      <c r="D217" s="36">
        <v>46038</v>
      </c>
      <c r="E217" s="12">
        <v>540480</v>
      </c>
      <c r="F217" s="73" t="s">
        <v>13</v>
      </c>
      <c r="G217" s="36">
        <v>46086</v>
      </c>
      <c r="H217" s="35" t="s">
        <v>25</v>
      </c>
    </row>
    <row r="218" spans="1:8" x14ac:dyDescent="0.25">
      <c r="A218" s="35" t="s">
        <v>32</v>
      </c>
      <c r="B218" s="35" t="s">
        <v>33</v>
      </c>
      <c r="C218" s="52" t="s">
        <v>96</v>
      </c>
      <c r="D218" s="36">
        <v>46038</v>
      </c>
      <c r="E218" s="12">
        <v>460500</v>
      </c>
      <c r="F218" s="72" t="s">
        <v>12</v>
      </c>
      <c r="G218" s="36">
        <v>46086</v>
      </c>
      <c r="H218" s="35" t="s">
        <v>25</v>
      </c>
    </row>
    <row r="219" spans="1:8" x14ac:dyDescent="0.25">
      <c r="A219" s="35" t="s">
        <v>32</v>
      </c>
      <c r="B219" s="35" t="s">
        <v>33</v>
      </c>
      <c r="C219" s="52" t="s">
        <v>97</v>
      </c>
      <c r="D219" s="36">
        <v>46040</v>
      </c>
      <c r="E219" s="12">
        <v>754700</v>
      </c>
      <c r="F219" s="72" t="s">
        <v>12</v>
      </c>
      <c r="G219" s="36">
        <v>46086</v>
      </c>
      <c r="H219" s="35" t="s">
        <v>25</v>
      </c>
    </row>
    <row r="220" spans="1:8" x14ac:dyDescent="0.25">
      <c r="A220" s="35" t="s">
        <v>32</v>
      </c>
      <c r="B220" s="35" t="s">
        <v>33</v>
      </c>
      <c r="C220" s="52" t="s">
        <v>98</v>
      </c>
      <c r="D220" s="36">
        <v>46043</v>
      </c>
      <c r="E220" s="12">
        <v>1043800</v>
      </c>
      <c r="F220" s="73" t="s">
        <v>13</v>
      </c>
      <c r="G220" s="36">
        <v>46094</v>
      </c>
      <c r="H220" s="35" t="s">
        <v>25</v>
      </c>
    </row>
    <row r="221" spans="1:8" x14ac:dyDescent="0.25">
      <c r="A221" s="35" t="s">
        <v>32</v>
      </c>
      <c r="B221" s="35" t="s">
        <v>33</v>
      </c>
      <c r="C221" s="52" t="s">
        <v>99</v>
      </c>
      <c r="D221" s="36">
        <v>46044</v>
      </c>
      <c r="E221" s="12">
        <v>745850</v>
      </c>
      <c r="F221" s="73" t="s">
        <v>13</v>
      </c>
      <c r="G221" s="36">
        <v>46095</v>
      </c>
      <c r="H221" s="35" t="s">
        <v>25</v>
      </c>
    </row>
    <row r="222" spans="1:8" x14ac:dyDescent="0.25">
      <c r="A222" s="35" t="s">
        <v>47</v>
      </c>
      <c r="B222" s="35" t="s">
        <v>33</v>
      </c>
      <c r="C222" s="35">
        <v>372729</v>
      </c>
      <c r="D222" s="36">
        <v>46045</v>
      </c>
      <c r="E222" s="48">
        <f>(537652*0.88)+102153</f>
        <v>575286.76</v>
      </c>
      <c r="F222" s="35" t="s">
        <v>12</v>
      </c>
      <c r="G222" s="36">
        <v>46049</v>
      </c>
      <c r="H222" s="35" t="s">
        <v>25</v>
      </c>
    </row>
    <row r="223" spans="1:8" x14ac:dyDescent="0.25">
      <c r="A223" s="35" t="s">
        <v>47</v>
      </c>
      <c r="B223" s="35" t="s">
        <v>33</v>
      </c>
      <c r="C223" s="35">
        <v>372733</v>
      </c>
      <c r="D223" s="36">
        <v>46045</v>
      </c>
      <c r="E223" s="12">
        <v>1061247</v>
      </c>
      <c r="F223" s="35" t="s">
        <v>12</v>
      </c>
      <c r="G223" s="36">
        <v>46049</v>
      </c>
      <c r="H223" s="35" t="s">
        <v>25</v>
      </c>
    </row>
    <row r="224" spans="1:8" x14ac:dyDescent="0.25">
      <c r="A224" s="35" t="s">
        <v>47</v>
      </c>
      <c r="B224" s="35" t="s">
        <v>33</v>
      </c>
      <c r="C224" s="35">
        <v>373188</v>
      </c>
      <c r="D224" s="36">
        <v>46048</v>
      </c>
      <c r="E224" s="49">
        <f>259797*0.88</f>
        <v>228621.36000000002</v>
      </c>
      <c r="F224" s="35" t="s">
        <v>12</v>
      </c>
      <c r="G224" s="36">
        <v>46049</v>
      </c>
      <c r="H224" s="35" t="s">
        <v>25</v>
      </c>
    </row>
    <row r="225" spans="1:9" x14ac:dyDescent="0.25">
      <c r="A225" s="35" t="s">
        <v>47</v>
      </c>
      <c r="B225" s="35" t="s">
        <v>33</v>
      </c>
      <c r="C225" s="35">
        <v>373196</v>
      </c>
      <c r="D225" s="36">
        <v>46048</v>
      </c>
      <c r="E225" s="12">
        <v>592941</v>
      </c>
      <c r="F225" s="35" t="s">
        <v>12</v>
      </c>
      <c r="G225" s="36">
        <v>46062</v>
      </c>
      <c r="H225" s="35" t="s">
        <v>25</v>
      </c>
    </row>
    <row r="226" spans="1:9" x14ac:dyDescent="0.25">
      <c r="A226" s="35" t="s">
        <v>47</v>
      </c>
      <c r="B226" s="35" t="s">
        <v>33</v>
      </c>
      <c r="C226" s="35">
        <v>373213</v>
      </c>
      <c r="D226" s="36">
        <v>46048</v>
      </c>
      <c r="E226" s="12">
        <v>59208</v>
      </c>
      <c r="F226" s="35" t="s">
        <v>12</v>
      </c>
      <c r="G226" s="36">
        <v>46062</v>
      </c>
      <c r="H226" s="35" t="s">
        <v>25</v>
      </c>
    </row>
    <row r="227" spans="1:9" x14ac:dyDescent="0.25">
      <c r="A227" s="35" t="s">
        <v>47</v>
      </c>
      <c r="B227" s="35" t="s">
        <v>33</v>
      </c>
      <c r="C227" s="35">
        <v>373214</v>
      </c>
      <c r="D227" s="36">
        <v>46048</v>
      </c>
      <c r="E227" s="49">
        <f>177232*0.88</f>
        <v>155964.16</v>
      </c>
      <c r="F227" s="35" t="s">
        <v>12</v>
      </c>
      <c r="G227" s="36">
        <v>46049</v>
      </c>
      <c r="H227" s="35" t="s">
        <v>25</v>
      </c>
    </row>
    <row r="228" spans="1:9" x14ac:dyDescent="0.25">
      <c r="A228" s="35" t="s">
        <v>32</v>
      </c>
      <c r="B228" s="35" t="s">
        <v>33</v>
      </c>
      <c r="C228" s="52" t="s">
        <v>100</v>
      </c>
      <c r="D228" s="36">
        <v>46048</v>
      </c>
      <c r="E228" s="12">
        <v>923900</v>
      </c>
      <c r="F228" s="73" t="s">
        <v>13</v>
      </c>
      <c r="G228" s="36">
        <v>46105</v>
      </c>
      <c r="H228" s="35" t="s">
        <v>25</v>
      </c>
      <c r="I228" s="5"/>
    </row>
    <row r="229" spans="1:9" x14ac:dyDescent="0.25">
      <c r="A229" s="35" t="s">
        <v>122</v>
      </c>
      <c r="B229" s="35" t="s">
        <v>33</v>
      </c>
      <c r="C229" s="35">
        <v>38115812</v>
      </c>
      <c r="D229" s="36">
        <v>46050</v>
      </c>
      <c r="E229" s="12">
        <v>342922</v>
      </c>
      <c r="F229" s="35" t="s">
        <v>12</v>
      </c>
      <c r="G229" s="36">
        <v>46050</v>
      </c>
      <c r="H229" s="35" t="s">
        <v>25</v>
      </c>
      <c r="I229" s="5"/>
    </row>
    <row r="230" spans="1:9" x14ac:dyDescent="0.25">
      <c r="A230" s="35" t="s">
        <v>32</v>
      </c>
      <c r="B230" s="35" t="s">
        <v>33</v>
      </c>
      <c r="C230" s="52" t="s">
        <v>101</v>
      </c>
      <c r="D230" s="36">
        <v>46050</v>
      </c>
      <c r="E230" s="12">
        <v>1255960</v>
      </c>
      <c r="F230" s="73" t="s">
        <v>13</v>
      </c>
      <c r="G230" s="36">
        <v>46105</v>
      </c>
      <c r="H230" s="35" t="s">
        <v>25</v>
      </c>
      <c r="I230" s="5"/>
    </row>
    <row r="231" spans="1:9" x14ac:dyDescent="0.25">
      <c r="A231" s="35" t="s">
        <v>32</v>
      </c>
      <c r="B231" s="35" t="s">
        <v>166</v>
      </c>
      <c r="C231" s="35" t="s">
        <v>147</v>
      </c>
      <c r="D231" s="36">
        <v>46051</v>
      </c>
      <c r="E231" s="12">
        <v>2837462</v>
      </c>
      <c r="F231" s="35"/>
      <c r="G231" s="35"/>
      <c r="H231" s="35" t="s">
        <v>25</v>
      </c>
      <c r="I231" s="5"/>
    </row>
    <row r="232" spans="1:9" x14ac:dyDescent="0.25">
      <c r="A232" s="35" t="s">
        <v>4</v>
      </c>
      <c r="B232" s="35" t="s">
        <v>52</v>
      </c>
      <c r="C232" s="35" t="s">
        <v>86</v>
      </c>
      <c r="D232" s="36">
        <v>46052</v>
      </c>
      <c r="E232" s="12">
        <v>1500000</v>
      </c>
      <c r="F232" s="35" t="s">
        <v>12</v>
      </c>
      <c r="G232" s="36">
        <v>46055</v>
      </c>
      <c r="H232" s="35" t="s">
        <v>24</v>
      </c>
      <c r="I232" s="5"/>
    </row>
    <row r="233" spans="1:9" x14ac:dyDescent="0.25">
      <c r="A233" s="35" t="s">
        <v>5</v>
      </c>
      <c r="B233" s="35" t="s">
        <v>52</v>
      </c>
      <c r="C233" s="35" t="s">
        <v>86</v>
      </c>
      <c r="D233" s="36">
        <v>46052</v>
      </c>
      <c r="E233" s="12">
        <v>1500000</v>
      </c>
      <c r="F233" s="74" t="s">
        <v>13</v>
      </c>
      <c r="G233" s="36">
        <v>46055</v>
      </c>
      <c r="H233" s="35" t="s">
        <v>24</v>
      </c>
    </row>
    <row r="234" spans="1:9" x14ac:dyDescent="0.25">
      <c r="A234" s="35" t="s">
        <v>129</v>
      </c>
      <c r="B234" s="35" t="s">
        <v>52</v>
      </c>
      <c r="C234" s="35" t="s">
        <v>86</v>
      </c>
      <c r="D234" s="36">
        <v>46052</v>
      </c>
      <c r="E234" s="12">
        <v>110000</v>
      </c>
      <c r="F234" s="35" t="s">
        <v>13</v>
      </c>
      <c r="G234" s="36">
        <v>46052</v>
      </c>
      <c r="H234" s="35" t="s">
        <v>24</v>
      </c>
    </row>
    <row r="235" spans="1:9" x14ac:dyDescent="0.25">
      <c r="A235" s="35" t="s">
        <v>130</v>
      </c>
      <c r="B235" s="35" t="s">
        <v>52</v>
      </c>
      <c r="C235" s="35" t="s">
        <v>86</v>
      </c>
      <c r="D235" s="36">
        <v>46052</v>
      </c>
      <c r="E235" s="12">
        <v>190000</v>
      </c>
      <c r="F235" s="35" t="s">
        <v>13</v>
      </c>
      <c r="G235" s="36">
        <v>46052</v>
      </c>
      <c r="H235" s="35" t="s">
        <v>24</v>
      </c>
    </row>
    <row r="236" spans="1:9" x14ac:dyDescent="0.25">
      <c r="A236" s="35" t="s">
        <v>136</v>
      </c>
      <c r="B236" s="35" t="s">
        <v>154</v>
      </c>
      <c r="C236" s="35" t="s">
        <v>86</v>
      </c>
      <c r="D236" s="36">
        <v>46052</v>
      </c>
      <c r="E236" s="12">
        <v>500000</v>
      </c>
      <c r="F236" s="35" t="s">
        <v>13</v>
      </c>
      <c r="G236" s="36">
        <v>46032</v>
      </c>
      <c r="H236" s="35" t="s">
        <v>137</v>
      </c>
    </row>
    <row r="237" spans="1:9" x14ac:dyDescent="0.25">
      <c r="A237" s="35" t="s">
        <v>32</v>
      </c>
      <c r="B237" s="35" t="s">
        <v>33</v>
      </c>
      <c r="C237" s="52" t="s">
        <v>102</v>
      </c>
      <c r="D237" s="36">
        <v>46052</v>
      </c>
      <c r="E237" s="12">
        <v>775840</v>
      </c>
      <c r="F237" s="73" t="s">
        <v>13</v>
      </c>
      <c r="G237" s="36">
        <v>46105</v>
      </c>
      <c r="H237" s="35" t="s">
        <v>25</v>
      </c>
    </row>
    <row r="238" spans="1:9" x14ac:dyDescent="0.25">
      <c r="A238" s="35" t="s">
        <v>32</v>
      </c>
      <c r="B238" s="35" t="s">
        <v>33</v>
      </c>
      <c r="C238" s="52" t="s">
        <v>103</v>
      </c>
      <c r="D238" s="36">
        <v>46052</v>
      </c>
      <c r="E238" s="12">
        <v>136300</v>
      </c>
      <c r="F238" s="73" t="s">
        <v>13</v>
      </c>
      <c r="G238" s="36">
        <v>46105</v>
      </c>
      <c r="H238" s="35" t="s">
        <v>25</v>
      </c>
    </row>
    <row r="239" spans="1:9" x14ac:dyDescent="0.25">
      <c r="A239" s="35" t="s">
        <v>57</v>
      </c>
      <c r="B239" s="35" t="s">
        <v>33</v>
      </c>
      <c r="C239" s="35">
        <v>431346</v>
      </c>
      <c r="D239" s="36">
        <v>46056</v>
      </c>
      <c r="E239" s="12">
        <v>220442</v>
      </c>
      <c r="F239" s="35" t="s">
        <v>12</v>
      </c>
      <c r="G239" s="36">
        <v>46052</v>
      </c>
      <c r="H239" s="35" t="s">
        <v>25</v>
      </c>
    </row>
    <row r="240" spans="1:9" x14ac:dyDescent="0.25">
      <c r="A240" s="35" t="s">
        <v>50</v>
      </c>
      <c r="B240" s="35" t="s">
        <v>33</v>
      </c>
      <c r="C240" s="35">
        <v>1949</v>
      </c>
      <c r="D240" s="36">
        <v>46057</v>
      </c>
      <c r="E240" s="12">
        <v>417317</v>
      </c>
      <c r="F240" s="35" t="s">
        <v>12</v>
      </c>
      <c r="G240" s="36">
        <v>46068</v>
      </c>
      <c r="H240" s="35" t="s">
        <v>25</v>
      </c>
    </row>
    <row r="241" spans="1:8" x14ac:dyDescent="0.25">
      <c r="A241" s="35" t="s">
        <v>50</v>
      </c>
      <c r="B241" s="35" t="s">
        <v>33</v>
      </c>
      <c r="C241" s="35">
        <v>1954</v>
      </c>
      <c r="D241" s="36">
        <v>46057</v>
      </c>
      <c r="E241" s="12">
        <v>103245</v>
      </c>
      <c r="F241" s="35" t="s">
        <v>12</v>
      </c>
      <c r="G241" s="36">
        <v>46081</v>
      </c>
      <c r="H241" s="35" t="s">
        <v>25</v>
      </c>
    </row>
    <row r="242" spans="1:8" x14ac:dyDescent="0.25">
      <c r="A242" s="35" t="s">
        <v>58</v>
      </c>
      <c r="B242" s="35" t="s">
        <v>59</v>
      </c>
      <c r="C242" s="35" t="s">
        <v>104</v>
      </c>
      <c r="D242" s="36">
        <v>46058</v>
      </c>
      <c r="E242" s="12">
        <v>3000000</v>
      </c>
      <c r="F242" s="35" t="s">
        <v>12</v>
      </c>
      <c r="G242" s="36">
        <v>46096</v>
      </c>
      <c r="H242" s="35" t="s">
        <v>24</v>
      </c>
    </row>
    <row r="243" spans="1:8" x14ac:dyDescent="0.25">
      <c r="A243" s="35" t="s">
        <v>32</v>
      </c>
      <c r="B243" s="35" t="s">
        <v>33</v>
      </c>
      <c r="C243" s="52" t="s">
        <v>105</v>
      </c>
      <c r="D243" s="36">
        <v>46058</v>
      </c>
      <c r="E243" s="12">
        <v>1143700</v>
      </c>
      <c r="F243" s="72" t="s">
        <v>12</v>
      </c>
      <c r="G243" s="36">
        <v>46105</v>
      </c>
      <c r="H243" s="35" t="s">
        <v>25</v>
      </c>
    </row>
    <row r="244" spans="1:8" x14ac:dyDescent="0.25">
      <c r="A244" s="35" t="s">
        <v>32</v>
      </c>
      <c r="B244" s="35" t="s">
        <v>33</v>
      </c>
      <c r="C244" s="52" t="s">
        <v>106</v>
      </c>
      <c r="D244" s="36">
        <v>46058</v>
      </c>
      <c r="E244" s="12">
        <v>39900</v>
      </c>
      <c r="F244" s="72" t="s">
        <v>12</v>
      </c>
      <c r="G244" s="36">
        <v>46105</v>
      </c>
      <c r="H244" s="35" t="s">
        <v>25</v>
      </c>
    </row>
    <row r="245" spans="1:8" x14ac:dyDescent="0.25">
      <c r="A245" s="35" t="s">
        <v>154</v>
      </c>
      <c r="B245" s="35" t="s">
        <v>146</v>
      </c>
      <c r="C245" s="35" t="s">
        <v>144</v>
      </c>
      <c r="D245" s="36">
        <v>46059</v>
      </c>
      <c r="E245" s="12">
        <v>421200</v>
      </c>
      <c r="F245" s="35" t="s">
        <v>13</v>
      </c>
      <c r="G245" s="36">
        <v>46065</v>
      </c>
      <c r="H245" s="35" t="s">
        <v>25</v>
      </c>
    </row>
    <row r="246" spans="1:8" x14ac:dyDescent="0.25">
      <c r="A246" s="35" t="s">
        <v>134</v>
      </c>
      <c r="B246" s="35" t="s">
        <v>146</v>
      </c>
      <c r="C246" s="35" t="s">
        <v>159</v>
      </c>
      <c r="D246" s="36">
        <v>46059</v>
      </c>
      <c r="E246" s="12">
        <v>570588</v>
      </c>
      <c r="F246" s="35" t="s">
        <v>12</v>
      </c>
      <c r="G246" s="36">
        <v>46100</v>
      </c>
      <c r="H246" s="35" t="s">
        <v>25</v>
      </c>
    </row>
    <row r="247" spans="1:8" x14ac:dyDescent="0.25">
      <c r="A247" s="35" t="s">
        <v>153</v>
      </c>
      <c r="B247" s="35" t="s">
        <v>146</v>
      </c>
      <c r="C247" s="35" t="s">
        <v>152</v>
      </c>
      <c r="D247" s="36">
        <v>46059</v>
      </c>
      <c r="E247" s="12">
        <v>983535</v>
      </c>
      <c r="F247" s="35" t="s">
        <v>13</v>
      </c>
      <c r="G247" s="36">
        <v>46065</v>
      </c>
      <c r="H247" s="35"/>
    </row>
    <row r="248" spans="1:8" x14ac:dyDescent="0.25">
      <c r="A248" s="35" t="s">
        <v>134</v>
      </c>
      <c r="B248" s="35" t="s">
        <v>146</v>
      </c>
      <c r="C248" s="35" t="s">
        <v>155</v>
      </c>
      <c r="D248" s="36">
        <v>46059</v>
      </c>
      <c r="E248" s="12">
        <v>914652</v>
      </c>
      <c r="F248" s="35" t="s">
        <v>13</v>
      </c>
      <c r="G248" s="36">
        <v>46065</v>
      </c>
      <c r="H248" s="35"/>
    </row>
    <row r="249" spans="1:8" x14ac:dyDescent="0.25">
      <c r="A249" s="35" t="s">
        <v>154</v>
      </c>
      <c r="B249" s="35" t="s">
        <v>147</v>
      </c>
      <c r="C249" s="35" t="s">
        <v>145</v>
      </c>
      <c r="D249" s="36">
        <v>46060</v>
      </c>
      <c r="E249" s="12">
        <v>600780</v>
      </c>
      <c r="F249" s="35" t="s">
        <v>13</v>
      </c>
      <c r="G249" s="36">
        <v>46065</v>
      </c>
      <c r="H249" s="35" t="s">
        <v>25</v>
      </c>
    </row>
    <row r="250" spans="1:8" x14ac:dyDescent="0.25">
      <c r="A250" s="35" t="s">
        <v>48</v>
      </c>
      <c r="B250" s="35" t="s">
        <v>49</v>
      </c>
      <c r="C250" s="35" t="s">
        <v>104</v>
      </c>
      <c r="D250" s="36">
        <v>46060</v>
      </c>
      <c r="E250" s="12">
        <v>2229780</v>
      </c>
      <c r="F250" s="35" t="s">
        <v>12</v>
      </c>
      <c r="G250" s="36">
        <v>46062</v>
      </c>
      <c r="H250" s="35" t="s">
        <v>24</v>
      </c>
    </row>
    <row r="251" spans="1:8" x14ac:dyDescent="0.25">
      <c r="A251" s="35" t="s">
        <v>32</v>
      </c>
      <c r="B251" s="35" t="s">
        <v>166</v>
      </c>
      <c r="C251" s="35" t="s">
        <v>147</v>
      </c>
      <c r="D251" s="36">
        <v>46060</v>
      </c>
      <c r="E251" s="12">
        <v>1550880</v>
      </c>
      <c r="F251" s="35" t="s">
        <v>12</v>
      </c>
      <c r="G251" s="36">
        <v>46113</v>
      </c>
      <c r="H251" s="35" t="s">
        <v>25</v>
      </c>
    </row>
    <row r="252" spans="1:8" x14ac:dyDescent="0.25">
      <c r="A252" s="35" t="s">
        <v>32</v>
      </c>
      <c r="B252" s="35" t="s">
        <v>166</v>
      </c>
      <c r="C252" s="35" t="s">
        <v>147</v>
      </c>
      <c r="D252" s="36">
        <v>46060</v>
      </c>
      <c r="E252" s="12">
        <v>1985550</v>
      </c>
      <c r="F252" s="35" t="s">
        <v>12</v>
      </c>
      <c r="G252" s="36">
        <v>46113</v>
      </c>
      <c r="H252" s="35" t="s">
        <v>25</v>
      </c>
    </row>
    <row r="253" spans="1:8" x14ac:dyDescent="0.25">
      <c r="A253" s="35" t="s">
        <v>32</v>
      </c>
      <c r="B253" s="35" t="s">
        <v>33</v>
      </c>
      <c r="C253" s="52" t="s">
        <v>107</v>
      </c>
      <c r="D253" s="36">
        <v>46060</v>
      </c>
      <c r="E253" s="12">
        <v>503900</v>
      </c>
      <c r="F253" s="35" t="s">
        <v>12</v>
      </c>
      <c r="G253" s="36">
        <v>46102</v>
      </c>
      <c r="H253" s="35" t="s">
        <v>25</v>
      </c>
    </row>
    <row r="254" spans="1:8" x14ac:dyDescent="0.25">
      <c r="A254" s="35" t="s">
        <v>32</v>
      </c>
      <c r="B254" s="35" t="s">
        <v>166</v>
      </c>
      <c r="C254" s="35" t="s">
        <v>147</v>
      </c>
      <c r="D254" s="36">
        <v>46060</v>
      </c>
      <c r="E254" s="12">
        <v>1021900</v>
      </c>
      <c r="F254" s="35"/>
      <c r="G254" s="35"/>
      <c r="H254" s="35" t="s">
        <v>25</v>
      </c>
    </row>
    <row r="255" spans="1:8" x14ac:dyDescent="0.25">
      <c r="A255" s="35" t="s">
        <v>32</v>
      </c>
      <c r="B255" s="35" t="s">
        <v>33</v>
      </c>
      <c r="C255" s="52" t="s">
        <v>110</v>
      </c>
      <c r="D255" s="36">
        <v>46061</v>
      </c>
      <c r="E255" s="12">
        <v>517870</v>
      </c>
      <c r="F255" s="35" t="s">
        <v>12</v>
      </c>
      <c r="G255" s="36">
        <v>46102</v>
      </c>
      <c r="H255" s="35" t="s">
        <v>25</v>
      </c>
    </row>
    <row r="256" spans="1:8" x14ac:dyDescent="0.25">
      <c r="A256" s="35" t="s">
        <v>45</v>
      </c>
      <c r="B256" s="35" t="s">
        <v>46</v>
      </c>
      <c r="C256" s="35" t="s">
        <v>104</v>
      </c>
      <c r="D256" s="36">
        <v>46063</v>
      </c>
      <c r="E256" s="12">
        <v>100000</v>
      </c>
      <c r="F256" s="35" t="s">
        <v>12</v>
      </c>
      <c r="G256" s="36">
        <v>46062</v>
      </c>
      <c r="H256" s="35" t="s">
        <v>24</v>
      </c>
    </row>
    <row r="257" spans="1:9" x14ac:dyDescent="0.25">
      <c r="A257" s="35" t="s">
        <v>44</v>
      </c>
      <c r="B257" s="35">
        <v>894509</v>
      </c>
      <c r="C257" s="35" t="s">
        <v>104</v>
      </c>
      <c r="D257" s="36">
        <v>46065</v>
      </c>
      <c r="E257" s="12">
        <v>296240</v>
      </c>
      <c r="F257" s="35" t="s">
        <v>13</v>
      </c>
      <c r="G257" s="36">
        <v>46069</v>
      </c>
      <c r="H257" s="35" t="s">
        <v>24</v>
      </c>
    </row>
    <row r="258" spans="1:9" x14ac:dyDescent="0.25">
      <c r="A258" s="35" t="s">
        <v>32</v>
      </c>
      <c r="B258" s="35" t="s">
        <v>33</v>
      </c>
      <c r="C258" s="52" t="s">
        <v>111</v>
      </c>
      <c r="D258" s="36">
        <v>46065</v>
      </c>
      <c r="E258" s="12">
        <v>987500</v>
      </c>
      <c r="F258" s="35" t="s">
        <v>12</v>
      </c>
      <c r="G258" s="36">
        <v>46102</v>
      </c>
      <c r="H258" s="35" t="s">
        <v>25</v>
      </c>
    </row>
    <row r="259" spans="1:9" x14ac:dyDescent="0.25">
      <c r="A259" s="35" t="s">
        <v>32</v>
      </c>
      <c r="B259" s="35" t="s">
        <v>33</v>
      </c>
      <c r="C259" s="52" t="s">
        <v>112</v>
      </c>
      <c r="D259" s="36">
        <v>46067</v>
      </c>
      <c r="E259" s="12">
        <v>1038100</v>
      </c>
      <c r="F259" s="35" t="s">
        <v>12</v>
      </c>
      <c r="G259" s="36">
        <v>46102</v>
      </c>
      <c r="H259" s="35" t="s">
        <v>25</v>
      </c>
    </row>
    <row r="260" spans="1:9" x14ac:dyDescent="0.25">
      <c r="A260" s="35" t="s">
        <v>32</v>
      </c>
      <c r="B260" s="35" t="s">
        <v>33</v>
      </c>
      <c r="C260" s="52" t="s">
        <v>113</v>
      </c>
      <c r="D260" s="36">
        <v>46067</v>
      </c>
      <c r="E260" s="12">
        <f>587500-12416</f>
        <v>575084</v>
      </c>
      <c r="F260" s="35" t="s">
        <v>12</v>
      </c>
      <c r="G260" s="36">
        <v>46130</v>
      </c>
      <c r="H260" s="35" t="s">
        <v>25</v>
      </c>
    </row>
    <row r="261" spans="1:9" x14ac:dyDescent="0.25">
      <c r="A261" s="35" t="s">
        <v>53</v>
      </c>
      <c r="B261" s="35" t="s">
        <v>54</v>
      </c>
      <c r="C261" s="35" t="s">
        <v>104</v>
      </c>
      <c r="D261" s="36">
        <v>46068</v>
      </c>
      <c r="E261" s="12">
        <v>119400</v>
      </c>
      <c r="F261" s="35" t="s">
        <v>12</v>
      </c>
      <c r="G261" s="36">
        <v>46071</v>
      </c>
      <c r="H261" s="35" t="s">
        <v>24</v>
      </c>
    </row>
    <row r="262" spans="1:9" x14ac:dyDescent="0.25">
      <c r="A262" s="35" t="s">
        <v>4</v>
      </c>
      <c r="B262" s="35" t="s">
        <v>52</v>
      </c>
      <c r="C262" s="35" t="s">
        <v>104</v>
      </c>
      <c r="D262" s="36">
        <v>46068</v>
      </c>
      <c r="E262" s="12">
        <v>1500000</v>
      </c>
      <c r="F262" s="35" t="s">
        <v>12</v>
      </c>
      <c r="G262" s="36">
        <v>46071</v>
      </c>
      <c r="H262" s="35" t="s">
        <v>24</v>
      </c>
      <c r="I262" s="5"/>
    </row>
    <row r="263" spans="1:9" x14ac:dyDescent="0.25">
      <c r="A263" s="35" t="s">
        <v>5</v>
      </c>
      <c r="B263" s="35" t="s">
        <v>52</v>
      </c>
      <c r="C263" s="35" t="s">
        <v>104</v>
      </c>
      <c r="D263" s="36">
        <v>46068</v>
      </c>
      <c r="E263" s="12">
        <v>1500000</v>
      </c>
      <c r="F263" s="35" t="s">
        <v>12</v>
      </c>
      <c r="G263" s="36">
        <v>46071</v>
      </c>
      <c r="H263" s="35" t="s">
        <v>24</v>
      </c>
    </row>
    <row r="264" spans="1:9" x14ac:dyDescent="0.25">
      <c r="A264" s="35" t="s">
        <v>130</v>
      </c>
      <c r="B264" s="35" t="s">
        <v>52</v>
      </c>
      <c r="C264" s="35" t="s">
        <v>104</v>
      </c>
      <c r="D264" s="36">
        <v>46068</v>
      </c>
      <c r="E264" s="12">
        <v>200000</v>
      </c>
      <c r="F264" s="35" t="s">
        <v>13</v>
      </c>
      <c r="G264" s="36">
        <v>46068</v>
      </c>
      <c r="H264" s="35" t="s">
        <v>137</v>
      </c>
    </row>
    <row r="265" spans="1:9" x14ac:dyDescent="0.25">
      <c r="A265" s="35" t="s">
        <v>129</v>
      </c>
      <c r="B265" s="35" t="s">
        <v>52</v>
      </c>
      <c r="C265" s="35" t="s">
        <v>104</v>
      </c>
      <c r="D265" s="36">
        <v>46068</v>
      </c>
      <c r="E265" s="12">
        <v>200000</v>
      </c>
      <c r="F265" s="35" t="s">
        <v>13</v>
      </c>
      <c r="G265" s="36">
        <v>46068</v>
      </c>
      <c r="H265" s="35" t="s">
        <v>137</v>
      </c>
    </row>
    <row r="266" spans="1:9" x14ac:dyDescent="0.25">
      <c r="A266" s="35" t="s">
        <v>136</v>
      </c>
      <c r="B266" s="35" t="s">
        <v>154</v>
      </c>
      <c r="C266" s="35" t="s">
        <v>104</v>
      </c>
      <c r="D266" s="36">
        <v>46068</v>
      </c>
      <c r="E266" s="12">
        <v>500000</v>
      </c>
      <c r="F266" s="35" t="s">
        <v>13</v>
      </c>
      <c r="G266" s="36">
        <v>46068</v>
      </c>
      <c r="H266" s="35" t="s">
        <v>137</v>
      </c>
    </row>
    <row r="267" spans="1:9" x14ac:dyDescent="0.25">
      <c r="A267" s="35" t="s">
        <v>32</v>
      </c>
      <c r="B267" s="35" t="s">
        <v>33</v>
      </c>
      <c r="C267" s="52" t="s">
        <v>114</v>
      </c>
      <c r="D267" s="36">
        <v>46071</v>
      </c>
      <c r="E267" s="12">
        <v>857850</v>
      </c>
      <c r="F267" s="35" t="s">
        <v>12</v>
      </c>
      <c r="G267" s="36">
        <v>46130</v>
      </c>
      <c r="H267" s="35" t="s">
        <v>25</v>
      </c>
    </row>
    <row r="268" spans="1:9" x14ac:dyDescent="0.25">
      <c r="A268" s="35" t="s">
        <v>32</v>
      </c>
      <c r="B268" s="35" t="s">
        <v>33</v>
      </c>
      <c r="C268" s="52" t="s">
        <v>115</v>
      </c>
      <c r="D268" s="36">
        <v>46074</v>
      </c>
      <c r="E268" s="12">
        <v>1091000</v>
      </c>
      <c r="F268" s="35" t="s">
        <v>12</v>
      </c>
      <c r="G268" s="36">
        <v>46133</v>
      </c>
      <c r="H268" s="35" t="s">
        <v>25</v>
      </c>
    </row>
    <row r="269" spans="1:9" x14ac:dyDescent="0.25">
      <c r="A269" s="35" t="s">
        <v>32</v>
      </c>
      <c r="B269" s="35" t="s">
        <v>33</v>
      </c>
      <c r="C269" s="52" t="s">
        <v>116</v>
      </c>
      <c r="D269" s="36">
        <v>46074</v>
      </c>
      <c r="E269" s="12">
        <v>65800</v>
      </c>
      <c r="F269" s="35" t="s">
        <v>13</v>
      </c>
      <c r="G269" s="36">
        <v>46134</v>
      </c>
      <c r="H269" s="35" t="s">
        <v>25</v>
      </c>
    </row>
    <row r="270" spans="1:9" x14ac:dyDescent="0.25">
      <c r="A270" s="35" t="s">
        <v>32</v>
      </c>
      <c r="B270" s="35" t="s">
        <v>33</v>
      </c>
      <c r="C270" s="52" t="s">
        <v>117</v>
      </c>
      <c r="D270" s="36">
        <v>46075</v>
      </c>
      <c r="E270" s="12">
        <v>294800</v>
      </c>
      <c r="F270" s="35" t="s">
        <v>13</v>
      </c>
      <c r="G270" s="36">
        <v>46134</v>
      </c>
      <c r="H270" s="35" t="s">
        <v>25</v>
      </c>
    </row>
    <row r="271" spans="1:9" x14ac:dyDescent="0.25">
      <c r="A271" s="35" t="s">
        <v>47</v>
      </c>
      <c r="B271" s="35" t="s">
        <v>33</v>
      </c>
      <c r="C271" s="35">
        <v>382790</v>
      </c>
      <c r="D271" s="36">
        <v>46076</v>
      </c>
      <c r="E271" s="65">
        <f>(432417*0.88)+82158</f>
        <v>462684.96</v>
      </c>
      <c r="F271" s="35" t="s">
        <v>12</v>
      </c>
      <c r="G271" s="36">
        <v>46079</v>
      </c>
      <c r="H271" s="35" t="s">
        <v>25</v>
      </c>
    </row>
    <row r="272" spans="1:9" x14ac:dyDescent="0.25">
      <c r="A272" s="35" t="s">
        <v>47</v>
      </c>
      <c r="B272" s="35" t="s">
        <v>33</v>
      </c>
      <c r="C272" s="35">
        <v>382886</v>
      </c>
      <c r="D272" s="36">
        <v>46076</v>
      </c>
      <c r="E272" s="12">
        <v>736375</v>
      </c>
      <c r="F272" s="35" t="s">
        <v>12</v>
      </c>
      <c r="G272" s="36">
        <v>46079</v>
      </c>
      <c r="H272" s="35" t="s">
        <v>25</v>
      </c>
    </row>
    <row r="273" spans="1:8" x14ac:dyDescent="0.25">
      <c r="A273" s="35" t="s">
        <v>32</v>
      </c>
      <c r="B273" s="35" t="s">
        <v>33</v>
      </c>
      <c r="C273" s="52" t="s">
        <v>118</v>
      </c>
      <c r="D273" s="36">
        <v>46076</v>
      </c>
      <c r="E273" s="12">
        <v>550400</v>
      </c>
      <c r="F273" s="35" t="s">
        <v>13</v>
      </c>
      <c r="G273" s="36">
        <v>46134</v>
      </c>
      <c r="H273" s="35" t="s">
        <v>25</v>
      </c>
    </row>
    <row r="274" spans="1:8" x14ac:dyDescent="0.25">
      <c r="A274" s="35" t="s">
        <v>32</v>
      </c>
      <c r="B274" s="35" t="s">
        <v>33</v>
      </c>
      <c r="C274" s="52" t="s">
        <v>120</v>
      </c>
      <c r="D274" s="36">
        <v>46078</v>
      </c>
      <c r="E274" s="12">
        <v>740050</v>
      </c>
      <c r="F274" s="35" t="s">
        <v>13</v>
      </c>
      <c r="G274" s="36">
        <v>46135</v>
      </c>
      <c r="H274" s="35" t="s">
        <v>25</v>
      </c>
    </row>
    <row r="275" spans="1:8" x14ac:dyDescent="0.25">
      <c r="A275" s="35" t="s">
        <v>32</v>
      </c>
      <c r="B275" s="35" t="s">
        <v>33</v>
      </c>
      <c r="C275" s="52" t="s">
        <v>119</v>
      </c>
      <c r="D275" s="36">
        <v>46079</v>
      </c>
      <c r="E275" s="12">
        <v>158000</v>
      </c>
      <c r="F275" s="35" t="s">
        <v>12</v>
      </c>
      <c r="G275" s="36">
        <v>46102</v>
      </c>
      <c r="H275" s="35" t="s">
        <v>25</v>
      </c>
    </row>
    <row r="276" spans="1:8" x14ac:dyDescent="0.25">
      <c r="A276" s="35" t="s">
        <v>32</v>
      </c>
      <c r="B276" s="35" t="s">
        <v>33</v>
      </c>
      <c r="C276" s="52" t="s">
        <v>121</v>
      </c>
      <c r="D276" s="36">
        <v>46079</v>
      </c>
      <c r="E276" s="12">
        <v>458100</v>
      </c>
      <c r="F276" s="35" t="s">
        <v>13</v>
      </c>
      <c r="G276" s="36">
        <v>46135</v>
      </c>
      <c r="H276" s="35" t="s">
        <v>25</v>
      </c>
    </row>
    <row r="277" spans="1:8" x14ac:dyDescent="0.25">
      <c r="A277" s="35" t="s">
        <v>32</v>
      </c>
      <c r="B277" s="35" t="s">
        <v>33</v>
      </c>
      <c r="C277" s="52" t="s">
        <v>192</v>
      </c>
      <c r="D277" s="36">
        <v>46080</v>
      </c>
      <c r="E277" s="12">
        <v>391214</v>
      </c>
      <c r="F277" s="35" t="s">
        <v>12</v>
      </c>
      <c r="G277" s="36">
        <v>46102</v>
      </c>
      <c r="H277" s="35" t="s">
        <v>25</v>
      </c>
    </row>
    <row r="278" spans="1:8" x14ac:dyDescent="0.25">
      <c r="A278" s="35" t="s">
        <v>134</v>
      </c>
      <c r="B278" s="35" t="s">
        <v>166</v>
      </c>
      <c r="C278" s="35" t="s">
        <v>147</v>
      </c>
      <c r="D278" s="36">
        <v>46081</v>
      </c>
      <c r="E278" s="12">
        <f>900000/3</f>
        <v>300000</v>
      </c>
      <c r="F278" s="35" t="s">
        <v>12</v>
      </c>
      <c r="G278" s="36">
        <v>46107</v>
      </c>
      <c r="H278" s="35" t="s">
        <v>25</v>
      </c>
    </row>
    <row r="279" spans="1:8" x14ac:dyDescent="0.25">
      <c r="A279" s="35" t="s">
        <v>153</v>
      </c>
      <c r="B279" s="35" t="s">
        <v>166</v>
      </c>
      <c r="C279" s="35" t="s">
        <v>147</v>
      </c>
      <c r="D279" s="36">
        <v>46081</v>
      </c>
      <c r="E279" s="12">
        <f>500000</f>
        <v>500000</v>
      </c>
      <c r="F279" s="35" t="s">
        <v>12</v>
      </c>
      <c r="G279" s="36">
        <v>46086</v>
      </c>
      <c r="H279" s="35" t="s">
        <v>25</v>
      </c>
    </row>
    <row r="280" spans="1:8" x14ac:dyDescent="0.25">
      <c r="A280" s="35" t="s">
        <v>154</v>
      </c>
      <c r="B280" s="35" t="s">
        <v>166</v>
      </c>
      <c r="C280" s="35" t="s">
        <v>147</v>
      </c>
      <c r="D280" s="36">
        <v>46081</v>
      </c>
      <c r="E280" s="12">
        <f>500000</f>
        <v>500000</v>
      </c>
      <c r="F280" s="35" t="s">
        <v>12</v>
      </c>
      <c r="G280" s="36">
        <v>46086</v>
      </c>
      <c r="H280" s="35" t="s">
        <v>25</v>
      </c>
    </row>
    <row r="281" spans="1:8" x14ac:dyDescent="0.25">
      <c r="A281" s="35" t="s">
        <v>4</v>
      </c>
      <c r="B281" s="35" t="s">
        <v>52</v>
      </c>
      <c r="C281" s="35" t="s">
        <v>104</v>
      </c>
      <c r="D281" s="36">
        <v>46081</v>
      </c>
      <c r="E281" s="12">
        <v>1500000</v>
      </c>
      <c r="F281" s="35" t="s">
        <v>13</v>
      </c>
      <c r="G281" s="36">
        <v>46081</v>
      </c>
      <c r="H281" s="35" t="s">
        <v>137</v>
      </c>
    </row>
    <row r="282" spans="1:8" x14ac:dyDescent="0.25">
      <c r="A282" s="35" t="s">
        <v>5</v>
      </c>
      <c r="B282" s="35" t="s">
        <v>52</v>
      </c>
      <c r="C282" s="35" t="s">
        <v>104</v>
      </c>
      <c r="D282" s="36">
        <v>46081</v>
      </c>
      <c r="E282" s="12">
        <v>1500000</v>
      </c>
      <c r="F282" s="35" t="s">
        <v>13</v>
      </c>
      <c r="G282" s="36">
        <v>46081</v>
      </c>
      <c r="H282" s="35" t="s">
        <v>137</v>
      </c>
    </row>
    <row r="283" spans="1:8" x14ac:dyDescent="0.25">
      <c r="A283" s="35" t="s">
        <v>129</v>
      </c>
      <c r="B283" s="35" t="s">
        <v>52</v>
      </c>
      <c r="C283" s="35" t="s">
        <v>104</v>
      </c>
      <c r="D283" s="36">
        <v>46081</v>
      </c>
      <c r="E283" s="12">
        <v>150000</v>
      </c>
      <c r="F283" s="35" t="s">
        <v>13</v>
      </c>
      <c r="G283" s="36">
        <v>46081</v>
      </c>
      <c r="H283" s="35" t="s">
        <v>137</v>
      </c>
    </row>
    <row r="284" spans="1:8" x14ac:dyDescent="0.25">
      <c r="A284" s="35" t="s">
        <v>130</v>
      </c>
      <c r="B284" s="35" t="s">
        <v>52</v>
      </c>
      <c r="C284" s="35" t="s">
        <v>104</v>
      </c>
      <c r="D284" s="36">
        <v>46081</v>
      </c>
      <c r="E284" s="12">
        <v>200000</v>
      </c>
      <c r="F284" s="35" t="s">
        <v>13</v>
      </c>
      <c r="G284" s="36">
        <v>46081</v>
      </c>
      <c r="H284" s="35" t="s">
        <v>137</v>
      </c>
    </row>
    <row r="285" spans="1:8" x14ac:dyDescent="0.25">
      <c r="A285" s="35" t="s">
        <v>136</v>
      </c>
      <c r="B285" s="35" t="s">
        <v>154</v>
      </c>
      <c r="C285" s="35" t="s">
        <v>104</v>
      </c>
      <c r="D285" s="36">
        <v>46081</v>
      </c>
      <c r="E285" s="12">
        <v>500000</v>
      </c>
      <c r="F285" s="74" t="s">
        <v>13</v>
      </c>
      <c r="G285" s="36">
        <v>46081</v>
      </c>
      <c r="H285" s="35" t="s">
        <v>137</v>
      </c>
    </row>
    <row r="286" spans="1:8" x14ac:dyDescent="0.25">
      <c r="A286" s="35" t="s">
        <v>32</v>
      </c>
      <c r="B286" s="35" t="s">
        <v>33</v>
      </c>
      <c r="C286" s="52" t="s">
        <v>123</v>
      </c>
      <c r="D286" s="36">
        <v>46081</v>
      </c>
      <c r="E286" s="12">
        <v>708400</v>
      </c>
      <c r="F286" s="35" t="s">
        <v>12</v>
      </c>
      <c r="G286" s="36">
        <v>46136</v>
      </c>
      <c r="H286" s="35" t="s">
        <v>25</v>
      </c>
    </row>
    <row r="287" spans="1:8" x14ac:dyDescent="0.25">
      <c r="A287" s="35" t="s">
        <v>50</v>
      </c>
      <c r="B287" s="35" t="s">
        <v>33</v>
      </c>
      <c r="C287" s="35">
        <v>3878</v>
      </c>
      <c r="D287" s="36">
        <v>46083</v>
      </c>
      <c r="E287" s="12">
        <v>551438</v>
      </c>
      <c r="F287" s="35" t="s">
        <v>12</v>
      </c>
      <c r="G287" s="36">
        <v>46085</v>
      </c>
      <c r="H287" s="35" t="s">
        <v>25</v>
      </c>
    </row>
    <row r="288" spans="1:8" x14ac:dyDescent="0.25">
      <c r="A288" s="35" t="s">
        <v>32</v>
      </c>
      <c r="B288" s="35" t="s">
        <v>33</v>
      </c>
      <c r="C288" s="52" t="s">
        <v>126</v>
      </c>
      <c r="D288" s="36">
        <v>46083</v>
      </c>
      <c r="E288" s="12">
        <v>513350</v>
      </c>
      <c r="F288" s="35" t="s">
        <v>12</v>
      </c>
      <c r="G288" s="36">
        <v>46136</v>
      </c>
      <c r="H288" s="35" t="s">
        <v>25</v>
      </c>
    </row>
    <row r="289" spans="1:8" x14ac:dyDescent="0.25">
      <c r="A289" s="35" t="s">
        <v>32</v>
      </c>
      <c r="B289" s="35" t="s">
        <v>33</v>
      </c>
      <c r="C289" s="52" t="s">
        <v>127</v>
      </c>
      <c r="D289" s="36">
        <v>46085</v>
      </c>
      <c r="E289" s="12">
        <v>909400</v>
      </c>
      <c r="F289" s="35" t="s">
        <v>12</v>
      </c>
      <c r="G289" s="36">
        <v>46140</v>
      </c>
      <c r="H289" s="35" t="s">
        <v>25</v>
      </c>
    </row>
    <row r="290" spans="1:8" x14ac:dyDescent="0.25">
      <c r="A290" s="35" t="s">
        <v>58</v>
      </c>
      <c r="B290" s="35" t="s">
        <v>59</v>
      </c>
      <c r="C290" s="35" t="s">
        <v>109</v>
      </c>
      <c r="D290" s="36">
        <v>46086</v>
      </c>
      <c r="E290" s="12">
        <v>3000000</v>
      </c>
      <c r="F290" s="35" t="s">
        <v>12</v>
      </c>
      <c r="G290" s="36">
        <v>46086</v>
      </c>
      <c r="H290" s="35" t="s">
        <v>24</v>
      </c>
    </row>
    <row r="291" spans="1:8" x14ac:dyDescent="0.25">
      <c r="A291" s="35" t="s">
        <v>32</v>
      </c>
      <c r="B291" s="35" t="s">
        <v>33</v>
      </c>
      <c r="C291" s="52" t="s">
        <v>125</v>
      </c>
      <c r="D291" s="36">
        <v>46087</v>
      </c>
      <c r="E291" s="12">
        <v>163900</v>
      </c>
      <c r="F291" s="35" t="s">
        <v>12</v>
      </c>
      <c r="G291" s="36">
        <v>46140</v>
      </c>
      <c r="H291" s="35" t="s">
        <v>25</v>
      </c>
    </row>
    <row r="292" spans="1:8" x14ac:dyDescent="0.25">
      <c r="A292" s="35" t="s">
        <v>32</v>
      </c>
      <c r="B292" s="35" t="s">
        <v>33</v>
      </c>
      <c r="C292" s="52" t="s">
        <v>124</v>
      </c>
      <c r="D292" s="36">
        <v>46087</v>
      </c>
      <c r="E292" s="12">
        <v>923890</v>
      </c>
      <c r="F292" s="35" t="s">
        <v>12</v>
      </c>
      <c r="G292" s="36">
        <v>46140</v>
      </c>
      <c r="H292" s="35" t="s">
        <v>25</v>
      </c>
    </row>
    <row r="293" spans="1:8" x14ac:dyDescent="0.25">
      <c r="A293" s="35" t="s">
        <v>32</v>
      </c>
      <c r="B293" s="35" t="s">
        <v>33</v>
      </c>
      <c r="C293" s="52" t="s">
        <v>128</v>
      </c>
      <c r="D293" s="36">
        <v>46088</v>
      </c>
      <c r="E293" s="12">
        <v>820700</v>
      </c>
      <c r="F293" s="35" t="s">
        <v>13</v>
      </c>
      <c r="G293" s="36">
        <v>46140</v>
      </c>
      <c r="H293" s="35" t="s">
        <v>25</v>
      </c>
    </row>
    <row r="294" spans="1:8" x14ac:dyDescent="0.25">
      <c r="A294" s="35" t="s">
        <v>32</v>
      </c>
      <c r="B294" s="35" t="s">
        <v>33</v>
      </c>
      <c r="C294" s="52" t="s">
        <v>131</v>
      </c>
      <c r="D294" s="36">
        <v>46089</v>
      </c>
      <c r="E294" s="20">
        <v>1368595</v>
      </c>
      <c r="F294" s="35" t="s">
        <v>12</v>
      </c>
      <c r="G294" s="36">
        <v>46160</v>
      </c>
      <c r="H294" s="35" t="s">
        <v>25</v>
      </c>
    </row>
    <row r="295" spans="1:8" x14ac:dyDescent="0.25">
      <c r="A295" s="35" t="s">
        <v>32</v>
      </c>
      <c r="B295" s="35" t="s">
        <v>33</v>
      </c>
      <c r="C295" s="52" t="s">
        <v>132</v>
      </c>
      <c r="D295" s="36">
        <v>46090</v>
      </c>
      <c r="E295" s="20">
        <v>948150</v>
      </c>
      <c r="F295" s="35" t="s">
        <v>12</v>
      </c>
      <c r="G295" s="36">
        <v>46160</v>
      </c>
      <c r="H295" s="35" t="s">
        <v>25</v>
      </c>
    </row>
    <row r="296" spans="1:8" x14ac:dyDescent="0.25">
      <c r="A296" s="35" t="s">
        <v>32</v>
      </c>
      <c r="B296" s="35" t="s">
        <v>33</v>
      </c>
      <c r="C296" s="52" t="s">
        <v>133</v>
      </c>
      <c r="D296" s="36">
        <v>46090</v>
      </c>
      <c r="E296" s="20">
        <v>166000</v>
      </c>
      <c r="F296" s="35" t="s">
        <v>12</v>
      </c>
      <c r="G296" s="36">
        <v>46160</v>
      </c>
      <c r="H296" s="35" t="s">
        <v>25</v>
      </c>
    </row>
    <row r="297" spans="1:8" x14ac:dyDescent="0.25">
      <c r="A297" s="35" t="s">
        <v>45</v>
      </c>
      <c r="B297" s="35" t="s">
        <v>46</v>
      </c>
      <c r="C297" s="35" t="s">
        <v>109</v>
      </c>
      <c r="D297" s="36">
        <v>46091</v>
      </c>
      <c r="E297" s="12">
        <v>100000</v>
      </c>
      <c r="F297" s="35" t="s">
        <v>12</v>
      </c>
      <c r="G297" s="36">
        <v>46092</v>
      </c>
      <c r="H297" s="35" t="s">
        <v>24</v>
      </c>
    </row>
    <row r="298" spans="1:8" x14ac:dyDescent="0.25">
      <c r="A298" s="35" t="s">
        <v>32</v>
      </c>
      <c r="B298" s="35" t="s">
        <v>33</v>
      </c>
      <c r="C298" s="52" t="s">
        <v>149</v>
      </c>
      <c r="D298" s="36">
        <v>46092</v>
      </c>
      <c r="E298" s="20">
        <v>911250</v>
      </c>
      <c r="F298" s="35" t="s">
        <v>12</v>
      </c>
      <c r="G298" s="36">
        <v>46160</v>
      </c>
      <c r="H298" s="35" t="s">
        <v>25</v>
      </c>
    </row>
    <row r="299" spans="1:8" x14ac:dyDescent="0.25">
      <c r="A299" s="35" t="s">
        <v>44</v>
      </c>
      <c r="B299" s="35">
        <v>894509</v>
      </c>
      <c r="C299" s="35" t="s">
        <v>109</v>
      </c>
      <c r="D299" s="36">
        <v>46093</v>
      </c>
      <c r="E299" s="12">
        <v>274376</v>
      </c>
      <c r="F299" s="35" t="s">
        <v>12</v>
      </c>
      <c r="G299" s="36">
        <v>46097</v>
      </c>
      <c r="H299" s="35" t="s">
        <v>24</v>
      </c>
    </row>
    <row r="300" spans="1:8" x14ac:dyDescent="0.25">
      <c r="A300" s="35" t="s">
        <v>48</v>
      </c>
      <c r="B300" s="35" t="s">
        <v>49</v>
      </c>
      <c r="C300" s="35" t="s">
        <v>109</v>
      </c>
      <c r="D300" s="36">
        <v>46093</v>
      </c>
      <c r="E300" s="12">
        <v>2372100</v>
      </c>
      <c r="F300" s="35" t="s">
        <v>12</v>
      </c>
      <c r="G300" s="36">
        <v>46093</v>
      </c>
      <c r="H300" s="35" t="s">
        <v>24</v>
      </c>
    </row>
    <row r="301" spans="1:8" x14ac:dyDescent="0.25">
      <c r="A301" s="35" t="s">
        <v>32</v>
      </c>
      <c r="B301" s="35" t="s">
        <v>33</v>
      </c>
      <c r="C301" s="52" t="s">
        <v>150</v>
      </c>
      <c r="D301" s="36">
        <v>46093</v>
      </c>
      <c r="E301" s="20">
        <v>1077817</v>
      </c>
      <c r="F301" s="35" t="s">
        <v>12</v>
      </c>
      <c r="G301" s="36">
        <v>46160</v>
      </c>
      <c r="H301" s="35" t="s">
        <v>25</v>
      </c>
    </row>
    <row r="302" spans="1:8" x14ac:dyDescent="0.25">
      <c r="A302" s="35" t="s">
        <v>47</v>
      </c>
      <c r="B302" s="35" t="s">
        <v>33</v>
      </c>
      <c r="C302" s="35">
        <v>389690</v>
      </c>
      <c r="D302" s="36">
        <v>46094</v>
      </c>
      <c r="E302" s="65">
        <f>116753*0.88</f>
        <v>102742.64</v>
      </c>
      <c r="F302" s="35" t="s">
        <v>12</v>
      </c>
      <c r="G302" s="36">
        <v>46094</v>
      </c>
      <c r="H302" s="35" t="s">
        <v>25</v>
      </c>
    </row>
    <row r="303" spans="1:8" x14ac:dyDescent="0.25">
      <c r="A303" s="35" t="s">
        <v>47</v>
      </c>
      <c r="B303" s="35" t="s">
        <v>33</v>
      </c>
      <c r="C303" s="35">
        <v>389704</v>
      </c>
      <c r="D303" s="36">
        <v>46094</v>
      </c>
      <c r="E303" s="12">
        <v>42233</v>
      </c>
      <c r="F303" s="35" t="s">
        <v>12</v>
      </c>
      <c r="G303" s="36">
        <v>46094</v>
      </c>
      <c r="H303" s="35" t="s">
        <v>25</v>
      </c>
    </row>
    <row r="304" spans="1:8" x14ac:dyDescent="0.25">
      <c r="A304" s="35" t="s">
        <v>47</v>
      </c>
      <c r="B304" s="35" t="s">
        <v>33</v>
      </c>
      <c r="C304" s="35">
        <v>389769</v>
      </c>
      <c r="D304" s="36">
        <v>46095</v>
      </c>
      <c r="E304" s="12">
        <v>47900</v>
      </c>
      <c r="F304" s="35" t="s">
        <v>12</v>
      </c>
      <c r="G304" s="36">
        <v>46097</v>
      </c>
      <c r="H304" s="35" t="s">
        <v>25</v>
      </c>
    </row>
    <row r="305" spans="1:8" x14ac:dyDescent="0.25">
      <c r="A305" s="35" t="s">
        <v>47</v>
      </c>
      <c r="B305" s="35" t="s">
        <v>33</v>
      </c>
      <c r="C305" s="35">
        <v>389789</v>
      </c>
      <c r="D305" s="36">
        <v>46095</v>
      </c>
      <c r="E305" s="65">
        <f>174968*0.88</f>
        <v>153971.84</v>
      </c>
      <c r="F305" s="35" t="s">
        <v>12</v>
      </c>
      <c r="G305" s="36">
        <v>46097</v>
      </c>
      <c r="H305" s="35" t="s">
        <v>25</v>
      </c>
    </row>
    <row r="306" spans="1:8" x14ac:dyDescent="0.25">
      <c r="A306" s="35" t="s">
        <v>32</v>
      </c>
      <c r="B306" s="35" t="s">
        <v>33</v>
      </c>
      <c r="C306" s="52" t="s">
        <v>151</v>
      </c>
      <c r="D306" s="36">
        <v>46095</v>
      </c>
      <c r="E306" s="20">
        <v>767500</v>
      </c>
      <c r="F306" s="35" t="s">
        <v>12</v>
      </c>
      <c r="G306" s="36">
        <v>46160</v>
      </c>
      <c r="H306" s="35" t="s">
        <v>25</v>
      </c>
    </row>
    <row r="307" spans="1:8" x14ac:dyDescent="0.25">
      <c r="A307" s="35" t="s">
        <v>53</v>
      </c>
      <c r="B307" s="35" t="s">
        <v>54</v>
      </c>
      <c r="C307" s="35" t="s">
        <v>109</v>
      </c>
      <c r="D307" s="36">
        <v>46096</v>
      </c>
      <c r="E307" s="12">
        <v>119400</v>
      </c>
      <c r="F307" s="35" t="s">
        <v>12</v>
      </c>
      <c r="G307" s="36">
        <v>46097</v>
      </c>
      <c r="H307" s="35" t="s">
        <v>24</v>
      </c>
    </row>
    <row r="308" spans="1:8" x14ac:dyDescent="0.25">
      <c r="A308" s="35" t="s">
        <v>4</v>
      </c>
      <c r="B308" s="35" t="s">
        <v>52</v>
      </c>
      <c r="C308" s="35" t="s">
        <v>109</v>
      </c>
      <c r="D308" s="36">
        <v>46096</v>
      </c>
      <c r="E308" s="12">
        <v>1500000</v>
      </c>
      <c r="F308" s="35" t="s">
        <v>13</v>
      </c>
      <c r="G308" s="36">
        <v>46096</v>
      </c>
      <c r="H308" s="35" t="s">
        <v>137</v>
      </c>
    </row>
    <row r="309" spans="1:8" x14ac:dyDescent="0.25">
      <c r="A309" s="35" t="s">
        <v>5</v>
      </c>
      <c r="B309" s="35" t="s">
        <v>52</v>
      </c>
      <c r="C309" s="35" t="s">
        <v>109</v>
      </c>
      <c r="D309" s="36">
        <v>46096</v>
      </c>
      <c r="E309" s="12">
        <v>1500000</v>
      </c>
      <c r="F309" s="35" t="s">
        <v>13</v>
      </c>
      <c r="G309" s="36">
        <v>46096</v>
      </c>
      <c r="H309" s="35" t="s">
        <v>137</v>
      </c>
    </row>
    <row r="310" spans="1:8" x14ac:dyDescent="0.25">
      <c r="A310" s="35" t="s">
        <v>130</v>
      </c>
      <c r="B310" s="35" t="s">
        <v>52</v>
      </c>
      <c r="C310" s="35" t="s">
        <v>109</v>
      </c>
      <c r="D310" s="36">
        <v>46096</v>
      </c>
      <c r="E310" s="12">
        <v>150000</v>
      </c>
      <c r="F310" s="35" t="s">
        <v>13</v>
      </c>
      <c r="G310" s="36">
        <v>46096</v>
      </c>
      <c r="H310" s="35" t="s">
        <v>137</v>
      </c>
    </row>
    <row r="311" spans="1:8" x14ac:dyDescent="0.25">
      <c r="A311" s="35" t="s">
        <v>129</v>
      </c>
      <c r="B311" s="35" t="s">
        <v>52</v>
      </c>
      <c r="C311" s="35" t="s">
        <v>109</v>
      </c>
      <c r="D311" s="36">
        <v>46096</v>
      </c>
      <c r="E311" s="12">
        <v>150000</v>
      </c>
      <c r="F311" s="35" t="s">
        <v>13</v>
      </c>
      <c r="G311" s="36">
        <v>46096</v>
      </c>
      <c r="H311" s="35" t="s">
        <v>137</v>
      </c>
    </row>
    <row r="312" spans="1:8" x14ac:dyDescent="0.25">
      <c r="A312" s="35" t="s">
        <v>136</v>
      </c>
      <c r="B312" s="35" t="s">
        <v>154</v>
      </c>
      <c r="C312" s="35" t="s">
        <v>109</v>
      </c>
      <c r="D312" s="36">
        <v>46096</v>
      </c>
      <c r="E312" s="12">
        <v>500000</v>
      </c>
      <c r="F312" s="35" t="s">
        <v>13</v>
      </c>
      <c r="G312" s="36">
        <v>46100</v>
      </c>
      <c r="H312" s="35" t="s">
        <v>137</v>
      </c>
    </row>
    <row r="313" spans="1:8" x14ac:dyDescent="0.25">
      <c r="A313" s="35" t="s">
        <v>32</v>
      </c>
      <c r="B313" s="35" t="s">
        <v>33</v>
      </c>
      <c r="C313" s="52" t="s">
        <v>164</v>
      </c>
      <c r="D313" s="36">
        <v>46096</v>
      </c>
      <c r="E313" s="13">
        <v>911200</v>
      </c>
      <c r="F313" s="35" t="s">
        <v>13</v>
      </c>
      <c r="G313" s="36">
        <v>46160</v>
      </c>
      <c r="H313" s="35" t="s">
        <v>25</v>
      </c>
    </row>
    <row r="314" spans="1:8" x14ac:dyDescent="0.25">
      <c r="A314" s="35" t="s">
        <v>32</v>
      </c>
      <c r="B314" s="35" t="s">
        <v>33</v>
      </c>
      <c r="C314" s="52" t="s">
        <v>158</v>
      </c>
      <c r="D314" s="36">
        <v>46101</v>
      </c>
      <c r="E314" s="13">
        <v>1171780</v>
      </c>
      <c r="F314" s="35" t="s">
        <v>13</v>
      </c>
      <c r="G314" s="36">
        <v>46160</v>
      </c>
      <c r="H314" s="35" t="s">
        <v>25</v>
      </c>
    </row>
    <row r="315" spans="1:8" x14ac:dyDescent="0.25">
      <c r="A315" s="35" t="s">
        <v>32</v>
      </c>
      <c r="B315" s="35" t="s">
        <v>33</v>
      </c>
      <c r="C315" s="52" t="s">
        <v>157</v>
      </c>
      <c r="D315" s="36">
        <v>46102</v>
      </c>
      <c r="E315" s="13">
        <v>853810</v>
      </c>
      <c r="F315" s="35" t="s">
        <v>13</v>
      </c>
      <c r="G315" s="36">
        <v>46160</v>
      </c>
      <c r="H315" s="35" t="s">
        <v>25</v>
      </c>
    </row>
    <row r="316" spans="1:8" x14ac:dyDescent="0.25">
      <c r="A316" s="35" t="s">
        <v>47</v>
      </c>
      <c r="B316" s="35" t="s">
        <v>33</v>
      </c>
      <c r="C316" s="35">
        <v>392023</v>
      </c>
      <c r="D316" s="36">
        <v>46104</v>
      </c>
      <c r="E316" s="66">
        <v>905287</v>
      </c>
      <c r="F316" s="35" t="s">
        <v>12</v>
      </c>
      <c r="G316" s="36">
        <v>46105</v>
      </c>
      <c r="H316" s="35" t="s">
        <v>25</v>
      </c>
    </row>
    <row r="317" spans="1:8" x14ac:dyDescent="0.25">
      <c r="A317" s="35" t="s">
        <v>47</v>
      </c>
      <c r="B317" s="35" t="s">
        <v>33</v>
      </c>
      <c r="C317" s="35">
        <v>393064</v>
      </c>
      <c r="D317" s="36">
        <v>46104</v>
      </c>
      <c r="E317" s="31">
        <f>42318*0.88</f>
        <v>37239.840000000004</v>
      </c>
      <c r="F317" s="35" t="s">
        <v>12</v>
      </c>
      <c r="G317" s="36">
        <v>46105</v>
      </c>
      <c r="H317" s="35" t="s">
        <v>25</v>
      </c>
    </row>
    <row r="318" spans="1:8" x14ac:dyDescent="0.25">
      <c r="A318" s="35" t="s">
        <v>47</v>
      </c>
      <c r="B318" s="35" t="s">
        <v>33</v>
      </c>
      <c r="C318" s="35">
        <v>393083</v>
      </c>
      <c r="D318" s="36">
        <v>46104</v>
      </c>
      <c r="E318" s="66">
        <v>714340</v>
      </c>
      <c r="F318" s="35" t="s">
        <v>12</v>
      </c>
      <c r="G318" s="36">
        <v>46105</v>
      </c>
      <c r="H318" s="35" t="s">
        <v>25</v>
      </c>
    </row>
    <row r="319" spans="1:8" x14ac:dyDescent="0.25">
      <c r="A319" s="35" t="s">
        <v>47</v>
      </c>
      <c r="B319" s="35" t="s">
        <v>33</v>
      </c>
      <c r="C319" s="35">
        <v>393113</v>
      </c>
      <c r="D319" s="36">
        <v>46104</v>
      </c>
      <c r="E319" s="66">
        <v>99953</v>
      </c>
      <c r="F319" s="35" t="s">
        <v>12</v>
      </c>
      <c r="G319" s="36">
        <v>46105</v>
      </c>
      <c r="H319" s="35" t="s">
        <v>25</v>
      </c>
    </row>
    <row r="320" spans="1:8" x14ac:dyDescent="0.25">
      <c r="A320" s="35" t="s">
        <v>32</v>
      </c>
      <c r="B320" s="35" t="s">
        <v>33</v>
      </c>
      <c r="C320" s="52" t="s">
        <v>161</v>
      </c>
      <c r="D320" s="36">
        <v>46104</v>
      </c>
      <c r="E320" s="13">
        <v>464075</v>
      </c>
      <c r="F320" s="35" t="s">
        <v>13</v>
      </c>
      <c r="G320" s="36">
        <v>46160</v>
      </c>
      <c r="H320" s="35" t="s">
        <v>25</v>
      </c>
    </row>
    <row r="321" spans="1:8" x14ac:dyDescent="0.25">
      <c r="A321" s="35" t="s">
        <v>32</v>
      </c>
      <c r="B321" s="35" t="s">
        <v>33</v>
      </c>
      <c r="C321" s="52" t="s">
        <v>160</v>
      </c>
      <c r="D321" s="36">
        <v>46104</v>
      </c>
      <c r="E321" s="12">
        <v>1095650</v>
      </c>
      <c r="F321" s="35" t="s">
        <v>12</v>
      </c>
      <c r="G321" s="36">
        <v>46167</v>
      </c>
      <c r="H321" s="35" t="s">
        <v>25</v>
      </c>
    </row>
    <row r="322" spans="1:8" x14ac:dyDescent="0.25">
      <c r="A322" s="35" t="s">
        <v>47</v>
      </c>
      <c r="B322" s="35" t="s">
        <v>33</v>
      </c>
      <c r="C322" s="35">
        <v>3935547</v>
      </c>
      <c r="D322" s="36">
        <v>46106</v>
      </c>
      <c r="E322" s="66">
        <v>120000</v>
      </c>
      <c r="F322" s="35" t="s">
        <v>12</v>
      </c>
      <c r="G322" s="36">
        <v>46107</v>
      </c>
      <c r="H322" s="35" t="s">
        <v>25</v>
      </c>
    </row>
    <row r="323" spans="1:8" x14ac:dyDescent="0.25">
      <c r="A323" s="35" t="s">
        <v>32</v>
      </c>
      <c r="B323" s="35" t="s">
        <v>33</v>
      </c>
      <c r="C323" s="52" t="s">
        <v>162</v>
      </c>
      <c r="D323" s="36">
        <v>46106</v>
      </c>
      <c r="E323" s="66">
        <v>1069881</v>
      </c>
      <c r="F323" s="35" t="s">
        <v>13</v>
      </c>
      <c r="G323" s="36">
        <v>46168</v>
      </c>
      <c r="H323" s="35" t="s">
        <v>25</v>
      </c>
    </row>
    <row r="324" spans="1:8" x14ac:dyDescent="0.25">
      <c r="A324" s="35" t="s">
        <v>32</v>
      </c>
      <c r="B324" s="35" t="s">
        <v>33</v>
      </c>
      <c r="C324" s="52" t="s">
        <v>163</v>
      </c>
      <c r="D324" s="36">
        <v>46108</v>
      </c>
      <c r="E324" s="66">
        <v>1109600</v>
      </c>
      <c r="F324" s="35" t="s">
        <v>13</v>
      </c>
      <c r="G324" s="36">
        <v>46168</v>
      </c>
      <c r="H324" s="35" t="s">
        <v>25</v>
      </c>
    </row>
    <row r="325" spans="1:8" x14ac:dyDescent="0.25">
      <c r="A325" s="35" t="s">
        <v>50</v>
      </c>
      <c r="B325" s="35" t="s">
        <v>33</v>
      </c>
      <c r="C325" s="35">
        <v>5851</v>
      </c>
      <c r="D325" s="36">
        <v>46110</v>
      </c>
      <c r="E325" s="12">
        <v>278961</v>
      </c>
      <c r="F325" s="35" t="s">
        <v>12</v>
      </c>
      <c r="G325" s="36">
        <v>46113</v>
      </c>
      <c r="H325" s="35" t="s">
        <v>25</v>
      </c>
    </row>
    <row r="326" spans="1:8" x14ac:dyDescent="0.25">
      <c r="A326" s="35" t="s">
        <v>32</v>
      </c>
      <c r="B326" s="35" t="s">
        <v>33</v>
      </c>
      <c r="C326" s="52" t="s">
        <v>165</v>
      </c>
      <c r="D326" s="36">
        <v>46110</v>
      </c>
      <c r="E326" s="66">
        <v>1375476</v>
      </c>
      <c r="F326" s="35" t="s">
        <v>13</v>
      </c>
      <c r="G326" s="36">
        <v>46171</v>
      </c>
      <c r="H326" s="35" t="s">
        <v>25</v>
      </c>
    </row>
    <row r="327" spans="1:8" x14ac:dyDescent="0.25">
      <c r="A327" s="35" t="s">
        <v>32</v>
      </c>
      <c r="B327" s="35" t="s">
        <v>33</v>
      </c>
      <c r="C327" s="35" t="s">
        <v>167</v>
      </c>
      <c r="D327" s="36">
        <v>46110</v>
      </c>
      <c r="E327" s="66">
        <v>1049633</v>
      </c>
      <c r="F327" s="35" t="s">
        <v>13</v>
      </c>
      <c r="G327" s="36">
        <v>46171</v>
      </c>
      <c r="H327" s="35" t="s">
        <v>25</v>
      </c>
    </row>
    <row r="328" spans="1:8" x14ac:dyDescent="0.25">
      <c r="A328" s="35" t="s">
        <v>122</v>
      </c>
      <c r="B328" s="35" t="s">
        <v>33</v>
      </c>
      <c r="C328" s="35">
        <v>38128492</v>
      </c>
      <c r="D328" s="36">
        <v>46111</v>
      </c>
      <c r="E328" s="66">
        <v>403520</v>
      </c>
      <c r="F328" s="35" t="s">
        <v>12</v>
      </c>
      <c r="G328" s="36">
        <v>46109</v>
      </c>
      <c r="H328" s="35"/>
    </row>
    <row r="329" spans="1:8" x14ac:dyDescent="0.25">
      <c r="A329" s="35" t="s">
        <v>5</v>
      </c>
      <c r="B329" s="35" t="s">
        <v>52</v>
      </c>
      <c r="C329" s="35" t="s">
        <v>109</v>
      </c>
      <c r="D329" s="36">
        <v>46111</v>
      </c>
      <c r="E329" s="12">
        <v>1500000</v>
      </c>
      <c r="F329" s="35" t="s">
        <v>13</v>
      </c>
      <c r="G329" s="36">
        <v>46113</v>
      </c>
      <c r="H329" s="35" t="s">
        <v>137</v>
      </c>
    </row>
    <row r="330" spans="1:8" x14ac:dyDescent="0.25">
      <c r="A330" s="35" t="s">
        <v>4</v>
      </c>
      <c r="B330" s="35" t="s">
        <v>52</v>
      </c>
      <c r="C330" s="35" t="s">
        <v>109</v>
      </c>
      <c r="D330" s="36">
        <v>46111</v>
      </c>
      <c r="E330" s="12">
        <v>1500000</v>
      </c>
      <c r="F330" s="35" t="s">
        <v>13</v>
      </c>
      <c r="G330" s="36">
        <v>46113</v>
      </c>
      <c r="H330" s="35" t="s">
        <v>137</v>
      </c>
    </row>
    <row r="331" spans="1:8" x14ac:dyDescent="0.25">
      <c r="A331" s="35" t="s">
        <v>129</v>
      </c>
      <c r="B331" s="35" t="s">
        <v>52</v>
      </c>
      <c r="C331" s="35" t="s">
        <v>109</v>
      </c>
      <c r="D331" s="36">
        <v>46111</v>
      </c>
      <c r="E331" s="12">
        <v>150000</v>
      </c>
      <c r="F331" s="35" t="s">
        <v>13</v>
      </c>
      <c r="G331" s="36">
        <v>46111</v>
      </c>
      <c r="H331" s="35" t="s">
        <v>137</v>
      </c>
    </row>
    <row r="332" spans="1:8" x14ac:dyDescent="0.25">
      <c r="A332" s="35" t="s">
        <v>130</v>
      </c>
      <c r="B332" s="35" t="s">
        <v>52</v>
      </c>
      <c r="C332" s="35" t="s">
        <v>109</v>
      </c>
      <c r="D332" s="36">
        <v>46111</v>
      </c>
      <c r="E332" s="12">
        <v>150000</v>
      </c>
      <c r="F332" s="35" t="s">
        <v>13</v>
      </c>
      <c r="G332" s="36">
        <v>46111</v>
      </c>
      <c r="H332" s="35" t="s">
        <v>137</v>
      </c>
    </row>
    <row r="333" spans="1:8" x14ac:dyDescent="0.25">
      <c r="A333" s="35" t="s">
        <v>136</v>
      </c>
      <c r="B333" s="35" t="s">
        <v>154</v>
      </c>
      <c r="C333" s="35" t="s">
        <v>109</v>
      </c>
      <c r="D333" s="36">
        <v>46111</v>
      </c>
      <c r="E333" s="12">
        <v>500000</v>
      </c>
      <c r="F333" s="35" t="s">
        <v>184</v>
      </c>
      <c r="G333" s="36">
        <v>46118</v>
      </c>
      <c r="H333" s="35" t="s">
        <v>137</v>
      </c>
    </row>
    <row r="334" spans="1:8" x14ac:dyDescent="0.25">
      <c r="A334" s="35" t="s">
        <v>134</v>
      </c>
      <c r="B334" s="35" t="s">
        <v>166</v>
      </c>
      <c r="C334" s="35" t="s">
        <v>147</v>
      </c>
      <c r="D334" s="36">
        <v>46111</v>
      </c>
      <c r="E334" s="12">
        <f>900000/3</f>
        <v>300000</v>
      </c>
      <c r="F334" s="35"/>
      <c r="G334" s="35"/>
      <c r="H334" s="35" t="s">
        <v>25</v>
      </c>
    </row>
    <row r="335" spans="1:8" x14ac:dyDescent="0.25">
      <c r="A335" s="35" t="s">
        <v>153</v>
      </c>
      <c r="B335" s="35" t="s">
        <v>166</v>
      </c>
      <c r="C335" s="35" t="s">
        <v>147</v>
      </c>
      <c r="D335" s="36">
        <v>46111</v>
      </c>
      <c r="E335" s="12">
        <f>500000</f>
        <v>500000</v>
      </c>
      <c r="F335" s="35"/>
      <c r="G335" s="35"/>
      <c r="H335" s="35" t="s">
        <v>25</v>
      </c>
    </row>
    <row r="336" spans="1:8" x14ac:dyDescent="0.25">
      <c r="A336" s="35" t="s">
        <v>154</v>
      </c>
      <c r="B336" s="35" t="s">
        <v>166</v>
      </c>
      <c r="C336" s="35" t="s">
        <v>147</v>
      </c>
      <c r="D336" s="36">
        <v>46111</v>
      </c>
      <c r="E336" s="12">
        <f>500000</f>
        <v>500000</v>
      </c>
      <c r="F336" s="35"/>
      <c r="G336" s="36"/>
      <c r="H336" s="35" t="s">
        <v>25</v>
      </c>
    </row>
    <row r="337" spans="1:8" x14ac:dyDescent="0.25">
      <c r="A337" s="35" t="s">
        <v>32</v>
      </c>
      <c r="B337" s="35" t="s">
        <v>33</v>
      </c>
      <c r="C337" s="35" t="s">
        <v>168</v>
      </c>
      <c r="D337" s="36">
        <v>46113</v>
      </c>
      <c r="E337" s="66">
        <v>1138600</v>
      </c>
      <c r="F337" s="35" t="s">
        <v>13</v>
      </c>
      <c r="G337" s="36">
        <v>46176</v>
      </c>
      <c r="H337" s="35" t="s">
        <v>25</v>
      </c>
    </row>
    <row r="338" spans="1:8" x14ac:dyDescent="0.25">
      <c r="A338" s="35" t="s">
        <v>47</v>
      </c>
      <c r="B338" s="35" t="s">
        <v>33</v>
      </c>
      <c r="C338" s="35">
        <v>396724</v>
      </c>
      <c r="D338" s="36">
        <v>46114</v>
      </c>
      <c r="E338" s="66">
        <v>2360930</v>
      </c>
      <c r="F338" s="35" t="s">
        <v>13</v>
      </c>
      <c r="G338" s="36">
        <v>46125</v>
      </c>
      <c r="H338" s="35" t="s">
        <v>25</v>
      </c>
    </row>
    <row r="339" spans="1:8" x14ac:dyDescent="0.25">
      <c r="A339" s="35" t="s">
        <v>58</v>
      </c>
      <c r="B339" s="35" t="s">
        <v>59</v>
      </c>
      <c r="C339" s="35" t="s">
        <v>34</v>
      </c>
      <c r="D339" s="36">
        <v>46117</v>
      </c>
      <c r="E339" s="12">
        <v>3000000</v>
      </c>
      <c r="F339" s="35" t="s">
        <v>12</v>
      </c>
      <c r="G339" s="36">
        <v>46119</v>
      </c>
      <c r="H339" s="35" t="s">
        <v>24</v>
      </c>
    </row>
    <row r="340" spans="1:8" x14ac:dyDescent="0.25">
      <c r="A340" s="35" t="s">
        <v>4</v>
      </c>
      <c r="B340" s="35" t="s">
        <v>189</v>
      </c>
      <c r="C340" s="35" t="s">
        <v>109</v>
      </c>
      <c r="D340" s="36">
        <v>46117</v>
      </c>
      <c r="E340" s="66">
        <v>248163</v>
      </c>
      <c r="F340" s="35" t="s">
        <v>13</v>
      </c>
      <c r="G340" s="36">
        <v>46125</v>
      </c>
      <c r="H340" s="35" t="s">
        <v>25</v>
      </c>
    </row>
    <row r="341" spans="1:8" x14ac:dyDescent="0.25">
      <c r="A341" s="35" t="s">
        <v>5</v>
      </c>
      <c r="B341" s="35" t="s">
        <v>189</v>
      </c>
      <c r="C341" s="35" t="s">
        <v>109</v>
      </c>
      <c r="D341" s="36">
        <v>46117</v>
      </c>
      <c r="E341" s="66">
        <v>72665</v>
      </c>
      <c r="F341" s="35" t="s">
        <v>13</v>
      </c>
      <c r="G341" s="36">
        <v>46125</v>
      </c>
      <c r="H341" s="35" t="s">
        <v>25</v>
      </c>
    </row>
    <row r="342" spans="1:8" x14ac:dyDescent="0.25">
      <c r="A342" s="35" t="s">
        <v>32</v>
      </c>
      <c r="B342" s="35" t="s">
        <v>33</v>
      </c>
      <c r="C342" s="35" t="s">
        <v>172</v>
      </c>
      <c r="D342" s="36">
        <v>46117</v>
      </c>
      <c r="E342" s="66">
        <v>1226275</v>
      </c>
      <c r="F342" s="35" t="s">
        <v>13</v>
      </c>
      <c r="G342" s="36">
        <v>46178</v>
      </c>
      <c r="H342" s="35" t="s">
        <v>25</v>
      </c>
    </row>
    <row r="343" spans="1:8" x14ac:dyDescent="0.25">
      <c r="A343" s="35" t="s">
        <v>32</v>
      </c>
      <c r="B343" s="35" t="s">
        <v>33</v>
      </c>
      <c r="C343" s="35" t="s">
        <v>171</v>
      </c>
      <c r="D343" s="36">
        <v>46120</v>
      </c>
      <c r="E343" s="66">
        <v>1274025</v>
      </c>
      <c r="F343" s="35" t="s">
        <v>13</v>
      </c>
      <c r="G343" s="36">
        <v>46186</v>
      </c>
      <c r="H343" s="35" t="s">
        <v>25</v>
      </c>
    </row>
    <row r="344" spans="1:8" x14ac:dyDescent="0.25">
      <c r="A344" s="35" t="s">
        <v>45</v>
      </c>
      <c r="B344" s="35" t="s">
        <v>46</v>
      </c>
      <c r="C344" s="35" t="s">
        <v>34</v>
      </c>
      <c r="D344" s="36">
        <v>46122</v>
      </c>
      <c r="E344" s="12">
        <v>100000</v>
      </c>
      <c r="F344" s="35" t="s">
        <v>12</v>
      </c>
      <c r="G344" s="36">
        <v>46122</v>
      </c>
      <c r="H344" s="35" t="s">
        <v>24</v>
      </c>
    </row>
    <row r="345" spans="1:8" x14ac:dyDescent="0.25">
      <c r="A345" s="35" t="s">
        <v>44</v>
      </c>
      <c r="B345" s="35">
        <v>894509</v>
      </c>
      <c r="C345" s="35" t="s">
        <v>34</v>
      </c>
      <c r="D345" s="36">
        <v>46122</v>
      </c>
      <c r="E345" s="12">
        <v>313016</v>
      </c>
      <c r="F345" s="35" t="s">
        <v>12</v>
      </c>
      <c r="G345" s="36">
        <v>46123</v>
      </c>
      <c r="H345" s="35" t="s">
        <v>24</v>
      </c>
    </row>
    <row r="346" spans="1:8" x14ac:dyDescent="0.25">
      <c r="A346" s="35" t="s">
        <v>48</v>
      </c>
      <c r="B346" s="35" t="s">
        <v>49</v>
      </c>
      <c r="C346" s="35" t="s">
        <v>34</v>
      </c>
      <c r="D346" s="36">
        <v>46123</v>
      </c>
      <c r="E346" s="12">
        <v>2603890</v>
      </c>
      <c r="F346" s="35" t="s">
        <v>12</v>
      </c>
      <c r="G346" s="36">
        <v>46123</v>
      </c>
      <c r="H346" s="35" t="s">
        <v>24</v>
      </c>
    </row>
    <row r="347" spans="1:8" x14ac:dyDescent="0.25">
      <c r="A347" s="35" t="s">
        <v>32</v>
      </c>
      <c r="B347" s="35" t="s">
        <v>33</v>
      </c>
      <c r="C347" s="35" t="s">
        <v>174</v>
      </c>
      <c r="D347" s="36">
        <v>46123</v>
      </c>
      <c r="E347" s="66">
        <v>1262190</v>
      </c>
      <c r="F347" s="35" t="s">
        <v>13</v>
      </c>
      <c r="G347" s="36">
        <v>46189</v>
      </c>
      <c r="H347" s="35" t="s">
        <v>25</v>
      </c>
    </row>
    <row r="348" spans="1:8" x14ac:dyDescent="0.25">
      <c r="A348" s="35" t="s">
        <v>48</v>
      </c>
      <c r="B348" s="35">
        <v>7714670</v>
      </c>
      <c r="C348" s="35" t="s">
        <v>34</v>
      </c>
      <c r="D348" s="36">
        <v>46124</v>
      </c>
      <c r="E348" s="12">
        <v>2409340</v>
      </c>
      <c r="F348" s="35" t="s">
        <v>12</v>
      </c>
      <c r="G348" s="36">
        <v>46155</v>
      </c>
      <c r="H348" s="35" t="s">
        <v>24</v>
      </c>
    </row>
    <row r="349" spans="1:8" x14ac:dyDescent="0.25">
      <c r="A349" s="35" t="s">
        <v>53</v>
      </c>
      <c r="B349" s="35" t="s">
        <v>54</v>
      </c>
      <c r="C349" s="35" t="s">
        <v>34</v>
      </c>
      <c r="D349" s="36">
        <v>46127</v>
      </c>
      <c r="E349" s="12">
        <v>119400</v>
      </c>
      <c r="F349" s="35" t="s">
        <v>12</v>
      </c>
      <c r="G349" s="36">
        <v>46128</v>
      </c>
      <c r="H349" s="35" t="s">
        <v>24</v>
      </c>
    </row>
    <row r="350" spans="1:8" x14ac:dyDescent="0.25">
      <c r="A350" s="35" t="s">
        <v>4</v>
      </c>
      <c r="B350" s="35" t="s">
        <v>52</v>
      </c>
      <c r="C350" s="35" t="s">
        <v>34</v>
      </c>
      <c r="D350" s="36">
        <v>46127</v>
      </c>
      <c r="E350" s="12">
        <v>1500000</v>
      </c>
      <c r="F350" s="35" t="s">
        <v>13</v>
      </c>
      <c r="G350" s="36">
        <v>46132</v>
      </c>
      <c r="H350" s="35" t="s">
        <v>24</v>
      </c>
    </row>
    <row r="351" spans="1:8" x14ac:dyDescent="0.25">
      <c r="A351" s="35" t="s">
        <v>5</v>
      </c>
      <c r="B351" s="35" t="s">
        <v>52</v>
      </c>
      <c r="C351" s="35" t="s">
        <v>34</v>
      </c>
      <c r="D351" s="36">
        <v>46127</v>
      </c>
      <c r="E351" s="12">
        <v>1500000</v>
      </c>
      <c r="F351" s="35" t="s">
        <v>13</v>
      </c>
      <c r="G351" s="36">
        <v>46132</v>
      </c>
      <c r="H351" s="35" t="s">
        <v>137</v>
      </c>
    </row>
    <row r="352" spans="1:8" x14ac:dyDescent="0.25">
      <c r="A352" s="35" t="s">
        <v>130</v>
      </c>
      <c r="B352" s="35" t="s">
        <v>52</v>
      </c>
      <c r="C352" s="35" t="s">
        <v>34</v>
      </c>
      <c r="D352" s="36">
        <v>46127</v>
      </c>
      <c r="E352" s="12">
        <v>200000</v>
      </c>
      <c r="F352" s="35" t="s">
        <v>13</v>
      </c>
      <c r="G352" s="36">
        <v>46127</v>
      </c>
      <c r="H352" s="35" t="s">
        <v>24</v>
      </c>
    </row>
    <row r="353" spans="1:8" x14ac:dyDescent="0.25">
      <c r="A353" s="35" t="s">
        <v>195</v>
      </c>
      <c r="B353" s="35" t="s">
        <v>52</v>
      </c>
      <c r="C353" s="35" t="s">
        <v>34</v>
      </c>
      <c r="D353" s="36">
        <v>46127</v>
      </c>
      <c r="E353" s="12">
        <v>100000</v>
      </c>
      <c r="F353" s="35" t="s">
        <v>13</v>
      </c>
      <c r="G353" s="36">
        <v>46127</v>
      </c>
      <c r="H353" s="35" t="s">
        <v>24</v>
      </c>
    </row>
    <row r="354" spans="1:8" x14ac:dyDescent="0.25">
      <c r="A354" s="35" t="s">
        <v>136</v>
      </c>
      <c r="B354" s="35" t="s">
        <v>154</v>
      </c>
      <c r="C354" s="35" t="s">
        <v>34</v>
      </c>
      <c r="D354" s="36">
        <v>46127</v>
      </c>
      <c r="E354" s="12">
        <v>500000</v>
      </c>
      <c r="F354" s="35" t="s">
        <v>12</v>
      </c>
      <c r="G354" s="36">
        <v>46130</v>
      </c>
      <c r="H354" s="35" t="s">
        <v>137</v>
      </c>
    </row>
    <row r="355" spans="1:8" x14ac:dyDescent="0.25">
      <c r="A355" s="35" t="s">
        <v>32</v>
      </c>
      <c r="B355" s="35" t="s">
        <v>33</v>
      </c>
      <c r="C355" s="35" t="s">
        <v>177</v>
      </c>
      <c r="D355" s="36">
        <v>46127</v>
      </c>
      <c r="E355" s="66">
        <v>1040450</v>
      </c>
      <c r="F355" s="35" t="s">
        <v>13</v>
      </c>
      <c r="G355" s="36">
        <v>46192</v>
      </c>
      <c r="H355" s="35" t="s">
        <v>25</v>
      </c>
    </row>
    <row r="356" spans="1:8" x14ac:dyDescent="0.25">
      <c r="A356" s="35" t="s">
        <v>32</v>
      </c>
      <c r="B356" s="35" t="s">
        <v>33</v>
      </c>
      <c r="C356" s="35" t="s">
        <v>178</v>
      </c>
      <c r="D356" s="36">
        <v>46130</v>
      </c>
      <c r="E356" s="66">
        <v>809570</v>
      </c>
      <c r="F356" s="35" t="s">
        <v>13</v>
      </c>
      <c r="G356" s="36">
        <v>46193</v>
      </c>
      <c r="H356" s="35" t="s">
        <v>25</v>
      </c>
    </row>
    <row r="357" spans="1:8" x14ac:dyDescent="0.25">
      <c r="A357" s="35" t="s">
        <v>32</v>
      </c>
      <c r="B357" s="35" t="s">
        <v>33</v>
      </c>
      <c r="C357" s="35" t="s">
        <v>179</v>
      </c>
      <c r="D357" s="36">
        <v>46132</v>
      </c>
      <c r="E357" s="66">
        <v>746910</v>
      </c>
      <c r="F357" s="35" t="s">
        <v>12</v>
      </c>
      <c r="G357" s="36">
        <v>46195</v>
      </c>
      <c r="H357" s="35" t="s">
        <v>25</v>
      </c>
    </row>
    <row r="358" spans="1:8" x14ac:dyDescent="0.25">
      <c r="A358" s="35" t="s">
        <v>32</v>
      </c>
      <c r="B358" s="35" t="s">
        <v>33</v>
      </c>
      <c r="C358" s="35" t="s">
        <v>180</v>
      </c>
      <c r="D358" s="36">
        <v>46136</v>
      </c>
      <c r="E358" s="66">
        <v>1052400</v>
      </c>
      <c r="F358" s="35" t="s">
        <v>12</v>
      </c>
      <c r="G358" s="36">
        <v>46195</v>
      </c>
      <c r="H358" s="35" t="s">
        <v>25</v>
      </c>
    </row>
    <row r="359" spans="1:8" x14ac:dyDescent="0.25">
      <c r="A359" s="35" t="s">
        <v>50</v>
      </c>
      <c r="B359" s="35" t="s">
        <v>33</v>
      </c>
      <c r="C359" s="35">
        <v>7873</v>
      </c>
      <c r="D359" s="36">
        <v>46137</v>
      </c>
      <c r="E359" s="12">
        <v>100491</v>
      </c>
      <c r="F359" s="35" t="s">
        <v>12</v>
      </c>
      <c r="G359" s="36">
        <v>46136</v>
      </c>
      <c r="H359" s="35" t="s">
        <v>25</v>
      </c>
    </row>
    <row r="360" spans="1:8" x14ac:dyDescent="0.25">
      <c r="A360" s="35" t="s">
        <v>32</v>
      </c>
      <c r="B360" s="35" t="s">
        <v>33</v>
      </c>
      <c r="C360" s="35" t="s">
        <v>181</v>
      </c>
      <c r="D360" s="36">
        <v>46138</v>
      </c>
      <c r="E360" s="66">
        <v>1010000</v>
      </c>
      <c r="F360" s="35" t="s">
        <v>13</v>
      </c>
      <c r="G360" s="36">
        <v>46198</v>
      </c>
      <c r="H360" s="35" t="s">
        <v>25</v>
      </c>
    </row>
    <row r="361" spans="1:8" x14ac:dyDescent="0.25">
      <c r="A361" s="35" t="s">
        <v>32</v>
      </c>
      <c r="B361" s="35" t="s">
        <v>33</v>
      </c>
      <c r="C361" s="35" t="s">
        <v>194</v>
      </c>
      <c r="D361" s="36">
        <v>46141</v>
      </c>
      <c r="E361" s="66">
        <v>1189830</v>
      </c>
      <c r="F361" s="35" t="s">
        <v>13</v>
      </c>
      <c r="G361" s="36">
        <v>46205</v>
      </c>
      <c r="H361" s="35" t="s">
        <v>25</v>
      </c>
    </row>
    <row r="362" spans="1:8" x14ac:dyDescent="0.25">
      <c r="A362" s="35" t="s">
        <v>4</v>
      </c>
      <c r="B362" s="35" t="s">
        <v>52</v>
      </c>
      <c r="C362" s="35" t="s">
        <v>34</v>
      </c>
      <c r="D362" s="36">
        <v>46142</v>
      </c>
      <c r="E362" s="12">
        <v>1500000</v>
      </c>
      <c r="F362" s="35" t="s">
        <v>12</v>
      </c>
      <c r="G362" s="36">
        <v>46142</v>
      </c>
      <c r="H362" s="35" t="s">
        <v>137</v>
      </c>
    </row>
    <row r="363" spans="1:8" x14ac:dyDescent="0.25">
      <c r="A363" s="35" t="s">
        <v>5</v>
      </c>
      <c r="B363" s="35" t="s">
        <v>52</v>
      </c>
      <c r="C363" s="35" t="s">
        <v>34</v>
      </c>
      <c r="D363" s="36">
        <v>46142</v>
      </c>
      <c r="E363" s="12">
        <v>1500000</v>
      </c>
      <c r="F363" s="35" t="s">
        <v>12</v>
      </c>
      <c r="G363" s="36">
        <v>46142</v>
      </c>
      <c r="H363" s="35" t="s">
        <v>137</v>
      </c>
    </row>
    <row r="364" spans="1:8" x14ac:dyDescent="0.25">
      <c r="A364" s="35" t="s">
        <v>195</v>
      </c>
      <c r="B364" s="35" t="s">
        <v>52</v>
      </c>
      <c r="C364" s="35" t="s">
        <v>34</v>
      </c>
      <c r="D364" s="36">
        <v>46142</v>
      </c>
      <c r="E364" s="12">
        <v>150000</v>
      </c>
      <c r="F364" s="35" t="s">
        <v>13</v>
      </c>
      <c r="G364" s="36">
        <v>46142</v>
      </c>
      <c r="H364" s="35" t="s">
        <v>137</v>
      </c>
    </row>
    <row r="365" spans="1:8" x14ac:dyDescent="0.25">
      <c r="A365" s="35" t="s">
        <v>130</v>
      </c>
      <c r="B365" s="35" t="s">
        <v>52</v>
      </c>
      <c r="C365" s="35" t="s">
        <v>34</v>
      </c>
      <c r="D365" s="36">
        <v>46142</v>
      </c>
      <c r="E365" s="12">
        <v>150000</v>
      </c>
      <c r="F365" s="35" t="s">
        <v>13</v>
      </c>
      <c r="G365" s="36">
        <v>46142</v>
      </c>
      <c r="H365" s="35" t="s">
        <v>137</v>
      </c>
    </row>
    <row r="366" spans="1:8" x14ac:dyDescent="0.25">
      <c r="A366" s="35" t="s">
        <v>136</v>
      </c>
      <c r="B366" s="35" t="s">
        <v>154</v>
      </c>
      <c r="C366" s="35" t="s">
        <v>34</v>
      </c>
      <c r="D366" s="36">
        <v>46142</v>
      </c>
      <c r="E366" s="12">
        <v>500000</v>
      </c>
      <c r="F366" s="35" t="s">
        <v>13</v>
      </c>
      <c r="G366" s="36">
        <v>46158</v>
      </c>
      <c r="H366" s="35" t="s">
        <v>137</v>
      </c>
    </row>
    <row r="367" spans="1:8" x14ac:dyDescent="0.25">
      <c r="A367" s="35" t="s">
        <v>4</v>
      </c>
      <c r="B367" s="35" t="s">
        <v>204</v>
      </c>
      <c r="C367" s="35" t="s">
        <v>34</v>
      </c>
      <c r="D367" s="36">
        <v>46142</v>
      </c>
      <c r="E367" s="12">
        <v>224300</v>
      </c>
      <c r="F367" s="35" t="s">
        <v>13</v>
      </c>
      <c r="G367" s="36">
        <v>46144</v>
      </c>
      <c r="H367" s="35"/>
    </row>
    <row r="368" spans="1:8" x14ac:dyDescent="0.25">
      <c r="A368" s="35" t="s">
        <v>5</v>
      </c>
      <c r="B368" s="35" t="s">
        <v>205</v>
      </c>
      <c r="C368" s="35" t="s">
        <v>34</v>
      </c>
      <c r="D368" s="36">
        <v>46142</v>
      </c>
      <c r="E368" s="12">
        <v>157900</v>
      </c>
      <c r="F368" s="35" t="s">
        <v>13</v>
      </c>
      <c r="G368" s="36">
        <v>46144</v>
      </c>
      <c r="H368" s="35"/>
    </row>
    <row r="369" spans="1:8" x14ac:dyDescent="0.25">
      <c r="A369" s="35" t="s">
        <v>134</v>
      </c>
      <c r="B369" s="35" t="s">
        <v>166</v>
      </c>
      <c r="C369" s="35" t="s">
        <v>147</v>
      </c>
      <c r="D369" s="36">
        <v>46142</v>
      </c>
      <c r="E369" s="12">
        <f>900000/3</f>
        <v>300000</v>
      </c>
      <c r="F369" s="35"/>
      <c r="G369" s="35"/>
      <c r="H369" s="35" t="s">
        <v>25</v>
      </c>
    </row>
    <row r="370" spans="1:8" x14ac:dyDescent="0.25">
      <c r="A370" s="35" t="s">
        <v>153</v>
      </c>
      <c r="B370" s="35" t="s">
        <v>166</v>
      </c>
      <c r="C370" s="35" t="s">
        <v>147</v>
      </c>
      <c r="D370" s="36">
        <v>46142</v>
      </c>
      <c r="E370" s="12">
        <v>400000</v>
      </c>
      <c r="F370" s="35"/>
      <c r="G370" s="35"/>
      <c r="H370" s="35" t="s">
        <v>25</v>
      </c>
    </row>
    <row r="371" spans="1:8" x14ac:dyDescent="0.25">
      <c r="A371" s="35" t="s">
        <v>154</v>
      </c>
      <c r="B371" s="35" t="s">
        <v>166</v>
      </c>
      <c r="C371" s="35" t="s">
        <v>147</v>
      </c>
      <c r="D371" s="36">
        <v>46142</v>
      </c>
      <c r="E371" s="12">
        <v>400000</v>
      </c>
      <c r="F371" s="35"/>
      <c r="G371" s="35"/>
      <c r="H371" s="35" t="s">
        <v>25</v>
      </c>
    </row>
    <row r="372" spans="1:8" x14ac:dyDescent="0.25">
      <c r="A372" s="35" t="s">
        <v>32</v>
      </c>
      <c r="B372" s="35" t="s">
        <v>185</v>
      </c>
      <c r="C372" s="35" t="s">
        <v>186</v>
      </c>
      <c r="D372" s="36">
        <v>46143</v>
      </c>
      <c r="E372" s="66">
        <v>1499230</v>
      </c>
      <c r="F372" s="35" t="s">
        <v>13</v>
      </c>
      <c r="G372" s="36">
        <v>46205</v>
      </c>
      <c r="H372" s="35" t="s">
        <v>25</v>
      </c>
    </row>
    <row r="373" spans="1:8" x14ac:dyDescent="0.25">
      <c r="A373" s="35" t="s">
        <v>32</v>
      </c>
      <c r="B373" s="35" t="s">
        <v>33</v>
      </c>
      <c r="C373" s="35" t="s">
        <v>187</v>
      </c>
      <c r="D373" s="36">
        <v>46143</v>
      </c>
      <c r="E373" s="66">
        <v>200800</v>
      </c>
      <c r="F373" s="35" t="s">
        <v>12</v>
      </c>
      <c r="G373" s="36">
        <v>46208</v>
      </c>
      <c r="H373" s="35" t="s">
        <v>25</v>
      </c>
    </row>
    <row r="374" spans="1:8" x14ac:dyDescent="0.25">
      <c r="A374" s="35" t="s">
        <v>58</v>
      </c>
      <c r="B374" s="35" t="s">
        <v>59</v>
      </c>
      <c r="C374" s="35" t="s">
        <v>35</v>
      </c>
      <c r="D374" s="36">
        <v>46147</v>
      </c>
      <c r="E374" s="12">
        <v>3000000</v>
      </c>
      <c r="F374" s="35" t="s">
        <v>12</v>
      </c>
      <c r="G374" s="36">
        <v>46147</v>
      </c>
      <c r="H374" s="35" t="s">
        <v>24</v>
      </c>
    </row>
    <row r="375" spans="1:8" x14ac:dyDescent="0.25">
      <c r="A375" s="35" t="s">
        <v>47</v>
      </c>
      <c r="B375" s="35" t="s">
        <v>33</v>
      </c>
      <c r="C375" s="35">
        <v>407760</v>
      </c>
      <c r="D375" s="36">
        <v>46148</v>
      </c>
      <c r="E375" s="31">
        <v>769494</v>
      </c>
      <c r="F375" s="35" t="s">
        <v>12</v>
      </c>
      <c r="G375" s="36">
        <v>46150</v>
      </c>
      <c r="H375" s="35" t="s">
        <v>25</v>
      </c>
    </row>
    <row r="376" spans="1:8" x14ac:dyDescent="0.25">
      <c r="A376" s="35" t="s">
        <v>47</v>
      </c>
      <c r="B376" s="35" t="s">
        <v>33</v>
      </c>
      <c r="C376" s="35">
        <v>407862</v>
      </c>
      <c r="D376" s="36">
        <v>46148</v>
      </c>
      <c r="E376" s="31">
        <v>162594</v>
      </c>
      <c r="F376" s="35" t="s">
        <v>12</v>
      </c>
      <c r="G376" s="36">
        <v>46150</v>
      </c>
      <c r="H376" s="35" t="s">
        <v>25</v>
      </c>
    </row>
    <row r="377" spans="1:8" x14ac:dyDescent="0.25">
      <c r="A377" s="35" t="s">
        <v>32</v>
      </c>
      <c r="B377" s="35" t="s">
        <v>33</v>
      </c>
      <c r="C377" s="35" t="s">
        <v>188</v>
      </c>
      <c r="D377" s="36">
        <v>46148</v>
      </c>
      <c r="E377" s="66">
        <v>1194230</v>
      </c>
      <c r="F377" s="35" t="s">
        <v>12</v>
      </c>
      <c r="G377" s="36">
        <v>46208</v>
      </c>
      <c r="H377" s="35" t="s">
        <v>25</v>
      </c>
    </row>
    <row r="378" spans="1:8" x14ac:dyDescent="0.25">
      <c r="A378" s="35" t="s">
        <v>47</v>
      </c>
      <c r="B378" s="35" t="s">
        <v>33</v>
      </c>
      <c r="C378" s="35">
        <v>407920</v>
      </c>
      <c r="D378" s="36">
        <v>46149</v>
      </c>
      <c r="E378" s="66">
        <v>151767</v>
      </c>
      <c r="F378" s="35" t="s">
        <v>13</v>
      </c>
      <c r="G378" s="36">
        <v>46154</v>
      </c>
      <c r="H378" s="35" t="s">
        <v>25</v>
      </c>
    </row>
    <row r="379" spans="1:8" x14ac:dyDescent="0.25">
      <c r="A379" s="35" t="s">
        <v>47</v>
      </c>
      <c r="B379" s="35" t="s">
        <v>33</v>
      </c>
      <c r="C379" s="35">
        <v>408047</v>
      </c>
      <c r="D379" s="36">
        <v>46149</v>
      </c>
      <c r="E379" s="12">
        <v>506969</v>
      </c>
      <c r="F379" s="35" t="s">
        <v>13</v>
      </c>
      <c r="G379" s="36">
        <v>46154</v>
      </c>
      <c r="H379" s="35" t="s">
        <v>25</v>
      </c>
    </row>
    <row r="380" spans="1:8" x14ac:dyDescent="0.25">
      <c r="A380" s="35" t="s">
        <v>47</v>
      </c>
      <c r="B380" s="35" t="s">
        <v>33</v>
      </c>
      <c r="C380" s="35">
        <v>408061</v>
      </c>
      <c r="D380" s="36">
        <v>46149</v>
      </c>
      <c r="E380" s="31">
        <f>554930*0.88+105437</f>
        <v>593775.4</v>
      </c>
      <c r="F380" s="35" t="s">
        <v>12</v>
      </c>
      <c r="G380" s="36">
        <v>46150</v>
      </c>
      <c r="H380" s="35" t="s">
        <v>25</v>
      </c>
    </row>
    <row r="381" spans="1:8" x14ac:dyDescent="0.25">
      <c r="A381" s="35" t="s">
        <v>47</v>
      </c>
      <c r="B381" s="35" t="s">
        <v>33</v>
      </c>
      <c r="C381" s="35">
        <v>408069</v>
      </c>
      <c r="D381" s="36">
        <v>46149</v>
      </c>
      <c r="E381" s="31">
        <v>56215</v>
      </c>
      <c r="F381" s="35" t="s">
        <v>12</v>
      </c>
      <c r="G381" s="36">
        <v>46150</v>
      </c>
      <c r="H381" s="35" t="s">
        <v>25</v>
      </c>
    </row>
    <row r="382" spans="1:8" x14ac:dyDescent="0.25">
      <c r="A382" s="35" t="s">
        <v>32</v>
      </c>
      <c r="B382" s="35" t="s">
        <v>33</v>
      </c>
      <c r="C382" s="35" t="s">
        <v>190</v>
      </c>
      <c r="D382" s="36">
        <v>46149</v>
      </c>
      <c r="E382" s="12">
        <v>645770</v>
      </c>
      <c r="F382" s="35" t="s">
        <v>12</v>
      </c>
      <c r="G382" s="36">
        <v>46208</v>
      </c>
      <c r="H382" s="35" t="s">
        <v>25</v>
      </c>
    </row>
    <row r="383" spans="1:8" x14ac:dyDescent="0.25">
      <c r="A383" s="35" t="s">
        <v>32</v>
      </c>
      <c r="B383" s="35" t="s">
        <v>33</v>
      </c>
      <c r="C383" s="35" t="s">
        <v>210</v>
      </c>
      <c r="D383" s="36">
        <v>46151</v>
      </c>
      <c r="E383" s="66">
        <v>869200</v>
      </c>
      <c r="F383" s="35" t="s">
        <v>184</v>
      </c>
      <c r="G383" s="36">
        <v>46208</v>
      </c>
      <c r="H383" s="35" t="s">
        <v>25</v>
      </c>
    </row>
    <row r="384" spans="1:8" x14ac:dyDescent="0.25">
      <c r="A384" s="35" t="s">
        <v>45</v>
      </c>
      <c r="B384" s="35" t="s">
        <v>46</v>
      </c>
      <c r="C384" s="35" t="s">
        <v>35</v>
      </c>
      <c r="D384" s="36">
        <v>46152</v>
      </c>
      <c r="E384" s="12">
        <v>100000</v>
      </c>
      <c r="F384" s="35" t="s">
        <v>12</v>
      </c>
      <c r="G384" s="36">
        <v>46153</v>
      </c>
      <c r="H384" s="35" t="s">
        <v>24</v>
      </c>
    </row>
    <row r="385" spans="1:9" x14ac:dyDescent="0.25">
      <c r="A385" s="35" t="s">
        <v>48</v>
      </c>
      <c r="B385" s="35" t="s">
        <v>49</v>
      </c>
      <c r="C385" s="35" t="s">
        <v>35</v>
      </c>
      <c r="D385" s="36">
        <v>46153</v>
      </c>
      <c r="E385" s="12">
        <v>1974200</v>
      </c>
      <c r="F385" s="35" t="s">
        <v>12</v>
      </c>
      <c r="G385" s="36">
        <v>46154</v>
      </c>
      <c r="H385" s="35" t="s">
        <v>24</v>
      </c>
      <c r="I385" s="5"/>
    </row>
    <row r="386" spans="1:9" x14ac:dyDescent="0.25">
      <c r="A386" s="35" t="s">
        <v>32</v>
      </c>
      <c r="B386" s="35" t="s">
        <v>33</v>
      </c>
      <c r="C386" s="35" t="s">
        <v>211</v>
      </c>
      <c r="D386" s="36">
        <v>46155</v>
      </c>
      <c r="E386" s="66">
        <v>827854</v>
      </c>
      <c r="F386" s="35" t="s">
        <v>13</v>
      </c>
      <c r="G386" s="36">
        <v>46208</v>
      </c>
      <c r="H386" s="35" t="s">
        <v>25</v>
      </c>
    </row>
    <row r="387" spans="1:9" x14ac:dyDescent="0.25">
      <c r="A387" s="35" t="s">
        <v>44</v>
      </c>
      <c r="B387" s="35">
        <v>894509</v>
      </c>
      <c r="C387" s="35" t="s">
        <v>35</v>
      </c>
      <c r="D387" s="36">
        <v>46156</v>
      </c>
      <c r="E387" s="12">
        <v>288170</v>
      </c>
      <c r="F387" s="35" t="s">
        <v>12</v>
      </c>
      <c r="G387" s="36">
        <v>46157</v>
      </c>
      <c r="H387" s="35" t="s">
        <v>24</v>
      </c>
    </row>
    <row r="388" spans="1:9" x14ac:dyDescent="0.25">
      <c r="A388" s="35" t="s">
        <v>136</v>
      </c>
      <c r="B388" s="35" t="s">
        <v>154</v>
      </c>
      <c r="C388" s="35" t="s">
        <v>35</v>
      </c>
      <c r="D388" s="36">
        <v>46157</v>
      </c>
      <c r="E388" s="12">
        <v>500000</v>
      </c>
      <c r="F388" s="35" t="s">
        <v>13</v>
      </c>
      <c r="G388" s="36">
        <v>46158</v>
      </c>
      <c r="H388" s="35" t="s">
        <v>137</v>
      </c>
    </row>
    <row r="389" spans="1:9" x14ac:dyDescent="0.25">
      <c r="A389" s="35" t="s">
        <v>53</v>
      </c>
      <c r="B389" s="35" t="s">
        <v>54</v>
      </c>
      <c r="C389" s="35" t="s">
        <v>35</v>
      </c>
      <c r="D389" s="36">
        <v>46157</v>
      </c>
      <c r="E389" s="12">
        <v>99935</v>
      </c>
      <c r="F389" s="35" t="s">
        <v>12</v>
      </c>
      <c r="G389" s="36">
        <v>46157</v>
      </c>
      <c r="H389" s="35" t="s">
        <v>24</v>
      </c>
    </row>
    <row r="390" spans="1:9" x14ac:dyDescent="0.25">
      <c r="A390" s="35" t="s">
        <v>4</v>
      </c>
      <c r="B390" s="35" t="s">
        <v>52</v>
      </c>
      <c r="C390" s="35" t="s">
        <v>35</v>
      </c>
      <c r="D390" s="36">
        <v>46157</v>
      </c>
      <c r="E390" s="12">
        <v>1500000</v>
      </c>
      <c r="F390" s="35" t="s">
        <v>13</v>
      </c>
      <c r="G390" s="36">
        <v>46157</v>
      </c>
      <c r="H390" s="35" t="s">
        <v>24</v>
      </c>
    </row>
    <row r="391" spans="1:9" x14ac:dyDescent="0.25">
      <c r="A391" s="35" t="s">
        <v>5</v>
      </c>
      <c r="B391" s="35" t="s">
        <v>52</v>
      </c>
      <c r="C391" s="35" t="s">
        <v>35</v>
      </c>
      <c r="D391" s="36">
        <v>46157</v>
      </c>
      <c r="E391" s="12">
        <v>1500000</v>
      </c>
      <c r="F391" s="35" t="s">
        <v>13</v>
      </c>
      <c r="G391" s="36">
        <v>46157</v>
      </c>
      <c r="H391" s="35" t="s">
        <v>24</v>
      </c>
    </row>
    <row r="392" spans="1:9" x14ac:dyDescent="0.25">
      <c r="A392" s="35" t="s">
        <v>130</v>
      </c>
      <c r="B392" s="35" t="s">
        <v>52</v>
      </c>
      <c r="C392" s="35" t="s">
        <v>35</v>
      </c>
      <c r="D392" s="36">
        <v>46157</v>
      </c>
      <c r="E392" s="12">
        <v>150000</v>
      </c>
      <c r="F392" s="35" t="s">
        <v>13</v>
      </c>
      <c r="G392" s="36">
        <v>46157</v>
      </c>
      <c r="H392" s="35" t="s">
        <v>24</v>
      </c>
    </row>
    <row r="393" spans="1:9" x14ac:dyDescent="0.25">
      <c r="A393" s="35" t="s">
        <v>195</v>
      </c>
      <c r="B393" s="35" t="s">
        <v>52</v>
      </c>
      <c r="C393" s="35" t="s">
        <v>35</v>
      </c>
      <c r="D393" s="36">
        <v>46157</v>
      </c>
      <c r="E393" s="12">
        <v>150000</v>
      </c>
      <c r="F393" s="35" t="s">
        <v>13</v>
      </c>
      <c r="G393" s="36">
        <v>46157</v>
      </c>
      <c r="H393" s="35" t="s">
        <v>24</v>
      </c>
    </row>
    <row r="394" spans="1:9" x14ac:dyDescent="0.25">
      <c r="A394" s="35" t="s">
        <v>32</v>
      </c>
      <c r="B394" s="35" t="s">
        <v>33</v>
      </c>
      <c r="C394" s="35" t="s">
        <v>212</v>
      </c>
      <c r="D394" s="36">
        <v>46157</v>
      </c>
      <c r="E394" s="66">
        <v>1067550</v>
      </c>
      <c r="F394" s="35" t="s">
        <v>13</v>
      </c>
      <c r="G394" s="36">
        <v>46213</v>
      </c>
      <c r="H394" s="35" t="s">
        <v>25</v>
      </c>
    </row>
    <row r="395" spans="1:9" x14ac:dyDescent="0.25">
      <c r="A395" s="35" t="s">
        <v>32</v>
      </c>
      <c r="B395" s="35" t="s">
        <v>33</v>
      </c>
      <c r="C395" s="35" t="s">
        <v>213</v>
      </c>
      <c r="D395" s="36">
        <v>46158</v>
      </c>
      <c r="E395" s="66">
        <v>91600</v>
      </c>
      <c r="F395" s="35" t="s">
        <v>13</v>
      </c>
      <c r="G395" s="36">
        <v>46208</v>
      </c>
      <c r="H395" s="35" t="s">
        <v>25</v>
      </c>
    </row>
    <row r="396" spans="1:9" x14ac:dyDescent="0.25">
      <c r="A396" s="35" t="s">
        <v>50</v>
      </c>
      <c r="B396" s="35" t="s">
        <v>33</v>
      </c>
      <c r="C396" s="35">
        <v>9811</v>
      </c>
      <c r="D396" s="36">
        <v>46159</v>
      </c>
      <c r="E396" s="12">
        <v>258528</v>
      </c>
      <c r="F396" s="35" t="s">
        <v>12</v>
      </c>
      <c r="G396" s="36">
        <v>46161</v>
      </c>
      <c r="H396" s="35" t="s">
        <v>25</v>
      </c>
    </row>
    <row r="397" spans="1:9" x14ac:dyDescent="0.25">
      <c r="A397" s="35" t="s">
        <v>32</v>
      </c>
      <c r="B397" s="35" t="s">
        <v>33</v>
      </c>
      <c r="C397" s="35" t="s">
        <v>214</v>
      </c>
      <c r="D397" s="36">
        <v>46159</v>
      </c>
      <c r="E397" s="66">
        <v>570500</v>
      </c>
      <c r="F397" s="35" t="s">
        <v>13</v>
      </c>
      <c r="G397" s="36">
        <v>46217</v>
      </c>
      <c r="H397" s="35" t="s">
        <v>25</v>
      </c>
    </row>
    <row r="398" spans="1:9" x14ac:dyDescent="0.25">
      <c r="A398" s="35" t="s">
        <v>32</v>
      </c>
      <c r="B398" s="35" t="s">
        <v>33</v>
      </c>
      <c r="C398" s="35" t="s">
        <v>193</v>
      </c>
      <c r="D398" s="36">
        <v>46160</v>
      </c>
      <c r="E398" s="66">
        <v>98000</v>
      </c>
      <c r="F398" s="35" t="s">
        <v>13</v>
      </c>
      <c r="G398" s="36">
        <v>46187</v>
      </c>
      <c r="H398" s="35" t="s">
        <v>25</v>
      </c>
    </row>
    <row r="399" spans="1:9" x14ac:dyDescent="0.25">
      <c r="A399" s="35" t="s">
        <v>32</v>
      </c>
      <c r="B399" s="35" t="s">
        <v>33</v>
      </c>
      <c r="C399" s="35" t="s">
        <v>238</v>
      </c>
      <c r="D399" s="36">
        <v>46162</v>
      </c>
      <c r="E399" s="12">
        <v>962110</v>
      </c>
      <c r="F399" s="35" t="s">
        <v>13</v>
      </c>
      <c r="G399" s="36">
        <v>46187</v>
      </c>
      <c r="H399" s="35" t="s">
        <v>25</v>
      </c>
    </row>
    <row r="400" spans="1:9" x14ac:dyDescent="0.25">
      <c r="A400" s="35" t="s">
        <v>32</v>
      </c>
      <c r="B400" s="35" t="s">
        <v>33</v>
      </c>
      <c r="C400" s="35" t="s">
        <v>239</v>
      </c>
      <c r="D400" s="36">
        <v>46162</v>
      </c>
      <c r="E400" s="12">
        <v>364700</v>
      </c>
      <c r="F400" s="35" t="s">
        <v>13</v>
      </c>
      <c r="G400" s="36">
        <v>46187</v>
      </c>
      <c r="H400" s="35" t="s">
        <v>25</v>
      </c>
    </row>
    <row r="401" spans="1:8" x14ac:dyDescent="0.25">
      <c r="A401" s="35" t="s">
        <v>32</v>
      </c>
      <c r="B401" s="35" t="s">
        <v>33</v>
      </c>
      <c r="C401" s="35" t="s">
        <v>202</v>
      </c>
      <c r="D401" s="36">
        <v>46165</v>
      </c>
      <c r="E401" s="12">
        <v>1341992</v>
      </c>
      <c r="F401" s="35" t="s">
        <v>12</v>
      </c>
      <c r="G401" s="36">
        <v>46220</v>
      </c>
      <c r="H401" s="35" t="s">
        <v>25</v>
      </c>
    </row>
    <row r="402" spans="1:8" x14ac:dyDescent="0.25">
      <c r="A402" s="35" t="s">
        <v>32</v>
      </c>
      <c r="B402" s="35" t="s">
        <v>33</v>
      </c>
      <c r="C402" s="35" t="s">
        <v>201</v>
      </c>
      <c r="D402" s="36">
        <v>46166</v>
      </c>
      <c r="E402" s="12">
        <v>966200</v>
      </c>
      <c r="F402" s="35" t="s">
        <v>12</v>
      </c>
      <c r="G402" s="36">
        <v>46226</v>
      </c>
      <c r="H402" s="35" t="s">
        <v>25</v>
      </c>
    </row>
    <row r="403" spans="1:8" x14ac:dyDescent="0.25">
      <c r="A403" s="35" t="s">
        <v>32</v>
      </c>
      <c r="B403" s="35" t="s">
        <v>33</v>
      </c>
      <c r="C403" s="35" t="s">
        <v>203</v>
      </c>
      <c r="D403" s="36">
        <v>46166</v>
      </c>
      <c r="E403" s="12">
        <v>683500</v>
      </c>
      <c r="F403" s="35" t="s">
        <v>13</v>
      </c>
      <c r="G403" s="36">
        <v>46226</v>
      </c>
      <c r="H403" s="35" t="s">
        <v>25</v>
      </c>
    </row>
    <row r="404" spans="1:8" x14ac:dyDescent="0.25">
      <c r="A404" s="35" t="s">
        <v>47</v>
      </c>
      <c r="B404" s="35" t="s">
        <v>33</v>
      </c>
      <c r="C404" s="35">
        <v>414375</v>
      </c>
      <c r="D404" s="36">
        <v>46167</v>
      </c>
      <c r="E404" s="12">
        <v>57356</v>
      </c>
      <c r="F404" s="35" t="s">
        <v>12</v>
      </c>
      <c r="G404" s="36">
        <v>46167</v>
      </c>
      <c r="H404" s="35" t="s">
        <v>25</v>
      </c>
    </row>
    <row r="405" spans="1:8" x14ac:dyDescent="0.25">
      <c r="A405" s="35" t="s">
        <v>47</v>
      </c>
      <c r="B405" s="35" t="s">
        <v>33</v>
      </c>
      <c r="C405" s="35">
        <v>414411</v>
      </c>
      <c r="D405" s="36">
        <v>46167</v>
      </c>
      <c r="E405" s="12">
        <v>261906</v>
      </c>
      <c r="F405" s="35" t="s">
        <v>12</v>
      </c>
      <c r="G405" s="36">
        <v>46167</v>
      </c>
      <c r="H405" s="35" t="s">
        <v>25</v>
      </c>
    </row>
    <row r="406" spans="1:8" ht="14.25" customHeight="1" x14ac:dyDescent="0.25">
      <c r="A406" s="35" t="s">
        <v>47</v>
      </c>
      <c r="B406" s="35" t="s">
        <v>33</v>
      </c>
      <c r="C406" s="35">
        <v>414467</v>
      </c>
      <c r="D406" s="36">
        <v>46167</v>
      </c>
      <c r="E406" s="12">
        <v>920286</v>
      </c>
      <c r="F406" s="35" t="s">
        <v>12</v>
      </c>
      <c r="G406" s="36">
        <v>46167</v>
      </c>
      <c r="H406" s="35" t="s">
        <v>25</v>
      </c>
    </row>
    <row r="407" spans="1:8" ht="14.25" customHeight="1" x14ac:dyDescent="0.25">
      <c r="A407" s="35" t="s">
        <v>32</v>
      </c>
      <c r="B407" s="35" t="s">
        <v>33</v>
      </c>
      <c r="C407" s="35" t="s">
        <v>200</v>
      </c>
      <c r="D407" s="36">
        <v>46167</v>
      </c>
      <c r="E407" s="12">
        <v>969075</v>
      </c>
      <c r="F407" s="35" t="s">
        <v>13</v>
      </c>
      <c r="G407" s="36">
        <v>46226</v>
      </c>
      <c r="H407" s="35" t="s">
        <v>25</v>
      </c>
    </row>
    <row r="408" spans="1:8" ht="14.25" customHeight="1" x14ac:dyDescent="0.25">
      <c r="A408" s="35" t="s">
        <v>32</v>
      </c>
      <c r="B408" s="35" t="s">
        <v>33</v>
      </c>
      <c r="C408" s="35" t="s">
        <v>199</v>
      </c>
      <c r="D408" s="36">
        <v>46169</v>
      </c>
      <c r="E408" s="12">
        <v>1056300</v>
      </c>
      <c r="F408" s="35" t="s">
        <v>12</v>
      </c>
      <c r="G408" s="36">
        <v>46228</v>
      </c>
      <c r="H408" s="35" t="s">
        <v>25</v>
      </c>
    </row>
    <row r="409" spans="1:8" ht="14.25" customHeight="1" x14ac:dyDescent="0.25">
      <c r="A409" s="35" t="s">
        <v>57</v>
      </c>
      <c r="B409" s="35" t="s">
        <v>33</v>
      </c>
      <c r="C409" s="35">
        <v>467891</v>
      </c>
      <c r="D409" s="36">
        <v>46170</v>
      </c>
      <c r="E409" s="12">
        <v>316533</v>
      </c>
      <c r="F409" s="35" t="s">
        <v>13</v>
      </c>
      <c r="G409" s="36">
        <v>46184</v>
      </c>
      <c r="H409" s="35" t="s">
        <v>25</v>
      </c>
    </row>
    <row r="410" spans="1:8" ht="14.25" customHeight="1" x14ac:dyDescent="0.25">
      <c r="A410" s="35" t="s">
        <v>47</v>
      </c>
      <c r="B410" s="35" t="s">
        <v>33</v>
      </c>
      <c r="C410" s="35">
        <v>415525</v>
      </c>
      <c r="D410" s="36">
        <v>46171</v>
      </c>
      <c r="E410" s="12">
        <v>811224</v>
      </c>
      <c r="F410" s="35" t="s">
        <v>12</v>
      </c>
      <c r="G410" s="36">
        <v>46178</v>
      </c>
      <c r="H410" s="35" t="s">
        <v>25</v>
      </c>
    </row>
    <row r="411" spans="1:8" ht="14.25" customHeight="1" x14ac:dyDescent="0.25">
      <c r="A411" s="35" t="s">
        <v>32</v>
      </c>
      <c r="B411" s="35" t="s">
        <v>33</v>
      </c>
      <c r="C411" s="35" t="s">
        <v>206</v>
      </c>
      <c r="D411" s="36">
        <v>46171</v>
      </c>
      <c r="E411" s="12">
        <v>631950</v>
      </c>
      <c r="F411" s="102" t="s">
        <v>12</v>
      </c>
      <c r="G411" s="36">
        <v>46228</v>
      </c>
      <c r="H411" s="35" t="s">
        <v>25</v>
      </c>
    </row>
    <row r="412" spans="1:8" ht="14.25" customHeight="1" x14ac:dyDescent="0.25">
      <c r="A412" s="35" t="s">
        <v>32</v>
      </c>
      <c r="B412" s="35" t="s">
        <v>33</v>
      </c>
      <c r="C412" s="35" t="s">
        <v>207</v>
      </c>
      <c r="D412" s="36">
        <v>46171</v>
      </c>
      <c r="E412" s="12">
        <v>85600</v>
      </c>
      <c r="F412" s="35" t="s">
        <v>13</v>
      </c>
      <c r="G412" s="36">
        <v>46228</v>
      </c>
      <c r="H412" s="35" t="s">
        <v>25</v>
      </c>
    </row>
    <row r="413" spans="1:8" ht="14.25" customHeight="1" x14ac:dyDescent="0.25">
      <c r="A413" s="35" t="s">
        <v>136</v>
      </c>
      <c r="B413" s="35" t="s">
        <v>154</v>
      </c>
      <c r="C413" s="35" t="s">
        <v>35</v>
      </c>
      <c r="D413" s="36">
        <v>46172</v>
      </c>
      <c r="E413" s="12">
        <v>500000</v>
      </c>
      <c r="F413" s="102" t="s">
        <v>13</v>
      </c>
      <c r="G413" s="36">
        <v>46220</v>
      </c>
      <c r="H413" s="35" t="s">
        <v>137</v>
      </c>
    </row>
    <row r="414" spans="1:8" ht="14.25" customHeight="1" x14ac:dyDescent="0.25">
      <c r="A414" s="35" t="s">
        <v>32</v>
      </c>
      <c r="B414" s="35" t="s">
        <v>33</v>
      </c>
      <c r="C414" s="35" t="s">
        <v>208</v>
      </c>
      <c r="D414" s="36">
        <v>46174</v>
      </c>
      <c r="E414" s="12">
        <v>1499230</v>
      </c>
      <c r="F414" s="35" t="s">
        <v>13</v>
      </c>
      <c r="G414" s="36">
        <v>46204</v>
      </c>
      <c r="H414" s="35" t="s">
        <v>25</v>
      </c>
    </row>
    <row r="415" spans="1:8" ht="14.25" customHeight="1" x14ac:dyDescent="0.25">
      <c r="A415" s="35" t="s">
        <v>32</v>
      </c>
      <c r="B415" s="35" t="s">
        <v>33</v>
      </c>
      <c r="C415" s="35" t="s">
        <v>209</v>
      </c>
      <c r="D415" s="36">
        <v>46176</v>
      </c>
      <c r="E415" s="12">
        <v>1098272</v>
      </c>
      <c r="F415" s="35" t="s">
        <v>13</v>
      </c>
      <c r="G415" s="36">
        <v>46204</v>
      </c>
      <c r="H415" s="35" t="s">
        <v>25</v>
      </c>
    </row>
    <row r="416" spans="1:8" ht="14.25" customHeight="1" x14ac:dyDescent="0.25">
      <c r="A416" s="35" t="s">
        <v>32</v>
      </c>
      <c r="B416" s="35" t="s">
        <v>33</v>
      </c>
      <c r="C416" s="35" t="s">
        <v>299</v>
      </c>
      <c r="D416" s="36">
        <v>46177</v>
      </c>
      <c r="E416" s="12">
        <v>540300</v>
      </c>
      <c r="F416" s="35" t="s">
        <v>13</v>
      </c>
      <c r="G416" s="36">
        <v>46582</v>
      </c>
      <c r="H416" s="35" t="s">
        <v>25</v>
      </c>
    </row>
    <row r="417" spans="1:8" ht="14.25" customHeight="1" x14ac:dyDescent="0.25">
      <c r="A417" s="35" t="s">
        <v>58</v>
      </c>
      <c r="B417" s="35" t="s">
        <v>59</v>
      </c>
      <c r="C417" s="35" t="s">
        <v>37</v>
      </c>
      <c r="D417" s="36">
        <v>46178</v>
      </c>
      <c r="E417" s="12">
        <v>3000000</v>
      </c>
      <c r="F417" s="35" t="s">
        <v>12</v>
      </c>
      <c r="G417" s="36">
        <v>46178</v>
      </c>
      <c r="H417" s="35" t="s">
        <v>24</v>
      </c>
    </row>
    <row r="418" spans="1:8" ht="14.25" customHeight="1" x14ac:dyDescent="0.25">
      <c r="A418" s="35" t="s">
        <v>32</v>
      </c>
      <c r="B418" s="35" t="s">
        <v>33</v>
      </c>
      <c r="C418" s="35" t="s">
        <v>215</v>
      </c>
      <c r="D418" s="36">
        <v>46178</v>
      </c>
      <c r="E418" s="12">
        <v>781860</v>
      </c>
      <c r="F418" s="35" t="s">
        <v>13</v>
      </c>
      <c r="G418" s="36">
        <v>46231</v>
      </c>
      <c r="H418" s="35" t="s">
        <v>25</v>
      </c>
    </row>
    <row r="419" spans="1:8" ht="14.25" customHeight="1" x14ac:dyDescent="0.25">
      <c r="A419" s="35" t="s">
        <v>4</v>
      </c>
      <c r="B419" s="35" t="s">
        <v>189</v>
      </c>
      <c r="C419" s="35" t="s">
        <v>37</v>
      </c>
      <c r="D419" s="36">
        <v>46178</v>
      </c>
      <c r="E419" s="66">
        <v>198600</v>
      </c>
      <c r="F419" s="35" t="s">
        <v>13</v>
      </c>
      <c r="G419" s="36">
        <v>46178</v>
      </c>
      <c r="H419" s="35" t="s">
        <v>25</v>
      </c>
    </row>
    <row r="420" spans="1:8" ht="14.25" customHeight="1" x14ac:dyDescent="0.25">
      <c r="A420" s="35" t="s">
        <v>5</v>
      </c>
      <c r="B420" s="35" t="s">
        <v>189</v>
      </c>
      <c r="C420" s="35" t="s">
        <v>37</v>
      </c>
      <c r="D420" s="36">
        <v>46178</v>
      </c>
      <c r="E420" s="66">
        <v>182200</v>
      </c>
      <c r="F420" s="35" t="s">
        <v>13</v>
      </c>
      <c r="G420" s="36">
        <v>46178</v>
      </c>
      <c r="H420" s="35" t="s">
        <v>25</v>
      </c>
    </row>
    <row r="421" spans="1:8" ht="14.25" customHeight="1" x14ac:dyDescent="0.25">
      <c r="A421" s="35" t="s">
        <v>32</v>
      </c>
      <c r="B421" s="35" t="s">
        <v>33</v>
      </c>
      <c r="C421" s="35" t="s">
        <v>216</v>
      </c>
      <c r="D421" s="36">
        <v>46179</v>
      </c>
      <c r="E421" s="12">
        <v>606250</v>
      </c>
      <c r="F421" s="35" t="s">
        <v>13</v>
      </c>
      <c r="G421" s="36">
        <v>46231</v>
      </c>
      <c r="H421" s="35" t="s">
        <v>25</v>
      </c>
    </row>
    <row r="422" spans="1:8" ht="14.25" customHeight="1" x14ac:dyDescent="0.25">
      <c r="A422" s="35" t="s">
        <v>47</v>
      </c>
      <c r="B422" s="35" t="s">
        <v>33</v>
      </c>
      <c r="C422" s="35">
        <v>418895</v>
      </c>
      <c r="D422" s="36">
        <v>46180</v>
      </c>
      <c r="E422" s="31">
        <f>87036*0.88</f>
        <v>76591.680000000008</v>
      </c>
      <c r="F422" s="35" t="s">
        <v>13</v>
      </c>
      <c r="G422" s="36">
        <v>46184</v>
      </c>
      <c r="H422" s="35" t="s">
        <v>25</v>
      </c>
    </row>
    <row r="423" spans="1:8" ht="14.25" customHeight="1" x14ac:dyDescent="0.25">
      <c r="A423" s="35" t="s">
        <v>47</v>
      </c>
      <c r="B423" s="35" t="s">
        <v>33</v>
      </c>
      <c r="C423" s="35">
        <v>418916</v>
      </c>
      <c r="D423" s="36">
        <v>46180</v>
      </c>
      <c r="E423" s="31">
        <f>440722*0.88</f>
        <v>387835.36</v>
      </c>
      <c r="F423" s="35" t="s">
        <v>13</v>
      </c>
      <c r="G423" s="36">
        <v>46184</v>
      </c>
      <c r="H423" s="35" t="s">
        <v>25</v>
      </c>
    </row>
    <row r="424" spans="1:8" ht="14.25" customHeight="1" x14ac:dyDescent="0.25">
      <c r="A424" s="35" t="s">
        <v>50</v>
      </c>
      <c r="B424" s="35" t="s">
        <v>33</v>
      </c>
      <c r="C424" s="35">
        <v>11309</v>
      </c>
      <c r="D424" s="36">
        <v>46180</v>
      </c>
      <c r="E424" s="31">
        <f>168650*0.9</f>
        <v>151785</v>
      </c>
      <c r="F424" s="35" t="s">
        <v>13</v>
      </c>
      <c r="G424" s="36">
        <v>46190</v>
      </c>
      <c r="H424" s="35" t="s">
        <v>25</v>
      </c>
    </row>
    <row r="425" spans="1:8" ht="14.25" customHeight="1" x14ac:dyDescent="0.25">
      <c r="A425" s="35" t="s">
        <v>47</v>
      </c>
      <c r="B425" s="35" t="s">
        <v>33</v>
      </c>
      <c r="C425" s="35">
        <v>418910</v>
      </c>
      <c r="D425" s="36">
        <v>46180</v>
      </c>
      <c r="E425" s="31">
        <f>1229127*0.88</f>
        <v>1081631.76</v>
      </c>
      <c r="F425" s="35" t="s">
        <v>13</v>
      </c>
      <c r="G425" s="36">
        <v>46184</v>
      </c>
      <c r="H425" s="35" t="s">
        <v>25</v>
      </c>
    </row>
    <row r="426" spans="1:8" ht="14.25" customHeight="1" x14ac:dyDescent="0.25">
      <c r="A426" s="35" t="s">
        <v>32</v>
      </c>
      <c r="B426" s="35" t="s">
        <v>33</v>
      </c>
      <c r="C426" s="35" t="s">
        <v>217</v>
      </c>
      <c r="D426" s="36">
        <v>46181</v>
      </c>
      <c r="E426" s="12">
        <v>834300</v>
      </c>
      <c r="F426" s="35" t="s">
        <v>13</v>
      </c>
      <c r="G426" s="36">
        <v>46244</v>
      </c>
      <c r="H426" s="35" t="s">
        <v>25</v>
      </c>
    </row>
    <row r="427" spans="1:8" ht="14.25" customHeight="1" x14ac:dyDescent="0.25">
      <c r="A427" s="35" t="s">
        <v>32</v>
      </c>
      <c r="B427" s="35" t="s">
        <v>33</v>
      </c>
      <c r="C427" s="35" t="s">
        <v>218</v>
      </c>
      <c r="D427" s="36">
        <v>46183</v>
      </c>
      <c r="E427" s="12">
        <v>1049300</v>
      </c>
      <c r="F427" s="35" t="s">
        <v>13</v>
      </c>
      <c r="G427" s="36">
        <v>46244</v>
      </c>
      <c r="H427" s="35" t="s">
        <v>25</v>
      </c>
    </row>
    <row r="428" spans="1:8" ht="14.25" customHeight="1" x14ac:dyDescent="0.25">
      <c r="A428" s="35" t="s">
        <v>32</v>
      </c>
      <c r="B428" s="35" t="s">
        <v>33</v>
      </c>
      <c r="C428" s="35" t="s">
        <v>220</v>
      </c>
      <c r="D428" s="36">
        <v>46183</v>
      </c>
      <c r="E428" s="12">
        <v>347785</v>
      </c>
      <c r="F428" s="35" t="s">
        <v>13</v>
      </c>
      <c r="G428" s="36">
        <v>46244</v>
      </c>
      <c r="H428" s="35" t="s">
        <v>25</v>
      </c>
    </row>
    <row r="429" spans="1:8" ht="14.25" customHeight="1" x14ac:dyDescent="0.25">
      <c r="A429" s="35" t="s">
        <v>32</v>
      </c>
      <c r="B429" s="35" t="s">
        <v>33</v>
      </c>
      <c r="C429" s="35" t="s">
        <v>219</v>
      </c>
      <c r="D429" s="36">
        <v>46183</v>
      </c>
      <c r="E429" s="12">
        <v>171900</v>
      </c>
      <c r="F429" s="35" t="s">
        <v>13</v>
      </c>
      <c r="G429" s="36">
        <v>46244</v>
      </c>
      <c r="H429" s="35" t="s">
        <v>25</v>
      </c>
    </row>
    <row r="430" spans="1:8" ht="14.25" customHeight="1" x14ac:dyDescent="0.25">
      <c r="A430" s="35" t="s">
        <v>45</v>
      </c>
      <c r="B430" s="35" t="s">
        <v>46</v>
      </c>
      <c r="C430" s="35" t="s">
        <v>37</v>
      </c>
      <c r="D430" s="36">
        <v>46183</v>
      </c>
      <c r="E430" s="12">
        <v>100000</v>
      </c>
      <c r="F430" s="35" t="s">
        <v>12</v>
      </c>
      <c r="G430" s="36">
        <v>46304</v>
      </c>
      <c r="H430" s="35" t="s">
        <v>24</v>
      </c>
    </row>
    <row r="431" spans="1:8" ht="14.25" customHeight="1" x14ac:dyDescent="0.25">
      <c r="A431" s="35" t="s">
        <v>48</v>
      </c>
      <c r="B431" s="35" t="s">
        <v>49</v>
      </c>
      <c r="C431" s="35" t="s">
        <v>37</v>
      </c>
      <c r="D431" s="36">
        <v>46183</v>
      </c>
      <c r="E431" s="12">
        <v>2201130</v>
      </c>
      <c r="F431" s="35" t="s">
        <v>12</v>
      </c>
      <c r="G431" s="36">
        <v>46183</v>
      </c>
      <c r="H431" s="35" t="s">
        <v>24</v>
      </c>
    </row>
    <row r="432" spans="1:8" ht="14.25" customHeight="1" x14ac:dyDescent="0.25">
      <c r="A432" s="35" t="s">
        <v>48</v>
      </c>
      <c r="B432" s="35" t="s">
        <v>49</v>
      </c>
      <c r="C432" s="35" t="s">
        <v>37</v>
      </c>
      <c r="D432" s="36">
        <v>46184</v>
      </c>
      <c r="E432" s="12">
        <v>2201130</v>
      </c>
      <c r="F432" s="35" t="s">
        <v>12</v>
      </c>
      <c r="G432" s="36">
        <v>46183</v>
      </c>
      <c r="H432" s="35" t="s">
        <v>24</v>
      </c>
    </row>
    <row r="433" spans="1:8" ht="14.25" customHeight="1" x14ac:dyDescent="0.25">
      <c r="A433" s="35" t="s">
        <v>44</v>
      </c>
      <c r="B433" s="35">
        <v>894509</v>
      </c>
      <c r="C433" s="35" t="s">
        <v>37</v>
      </c>
      <c r="D433" s="36">
        <v>46185</v>
      </c>
      <c r="E433" s="12">
        <v>302771</v>
      </c>
      <c r="F433" s="35" t="s">
        <v>12</v>
      </c>
      <c r="G433" s="36">
        <v>46186</v>
      </c>
      <c r="H433" s="35" t="s">
        <v>24</v>
      </c>
    </row>
    <row r="434" spans="1:8" ht="14.25" customHeight="1" x14ac:dyDescent="0.25">
      <c r="A434" s="35" t="s">
        <v>32</v>
      </c>
      <c r="B434" s="35" t="s">
        <v>33</v>
      </c>
      <c r="C434" s="35" t="s">
        <v>224</v>
      </c>
      <c r="D434" s="36">
        <v>46186</v>
      </c>
      <c r="E434" s="12">
        <v>66200</v>
      </c>
      <c r="F434" s="35" t="s">
        <v>13</v>
      </c>
      <c r="G434" s="36">
        <v>46244</v>
      </c>
      <c r="H434" s="35" t="s">
        <v>25</v>
      </c>
    </row>
    <row r="435" spans="1:8" ht="14.25" customHeight="1" x14ac:dyDescent="0.25">
      <c r="A435" s="35" t="s">
        <v>32</v>
      </c>
      <c r="B435" s="35" t="s">
        <v>33</v>
      </c>
      <c r="C435" s="35" t="s">
        <v>227</v>
      </c>
      <c r="D435" s="36">
        <v>46186</v>
      </c>
      <c r="E435" s="12">
        <v>919250</v>
      </c>
      <c r="F435" s="35" t="s">
        <v>13</v>
      </c>
      <c r="G435" s="36">
        <v>46244</v>
      </c>
      <c r="H435" s="35" t="s">
        <v>25</v>
      </c>
    </row>
    <row r="436" spans="1:8" ht="14.25" customHeight="1" x14ac:dyDescent="0.25">
      <c r="A436" s="35" t="s">
        <v>32</v>
      </c>
      <c r="B436" s="35" t="s">
        <v>33</v>
      </c>
      <c r="C436" s="35" t="s">
        <v>225</v>
      </c>
      <c r="D436" s="36">
        <v>46187</v>
      </c>
      <c r="E436" s="12">
        <v>844300</v>
      </c>
      <c r="F436" s="35" t="s">
        <v>13</v>
      </c>
      <c r="G436" s="36">
        <v>46244</v>
      </c>
      <c r="H436" s="35" t="s">
        <v>25</v>
      </c>
    </row>
    <row r="437" spans="1:8" ht="14.25" customHeight="1" x14ac:dyDescent="0.25">
      <c r="A437" s="35" t="s">
        <v>47</v>
      </c>
      <c r="B437" s="35" t="s">
        <v>33</v>
      </c>
      <c r="C437" s="35">
        <v>421995</v>
      </c>
      <c r="D437" s="36">
        <v>46187</v>
      </c>
      <c r="E437" s="31">
        <f>154370*0.88+29330</f>
        <v>165175.6</v>
      </c>
      <c r="F437" s="35" t="s">
        <v>13</v>
      </c>
      <c r="G437" s="36">
        <v>46192</v>
      </c>
      <c r="H437" s="35" t="s">
        <v>25</v>
      </c>
    </row>
    <row r="438" spans="1:8" ht="14.25" customHeight="1" x14ac:dyDescent="0.25">
      <c r="A438" s="35" t="s">
        <v>50</v>
      </c>
      <c r="B438" s="35" t="s">
        <v>33</v>
      </c>
      <c r="C438" s="35">
        <v>12045</v>
      </c>
      <c r="D438" s="36">
        <v>46188</v>
      </c>
      <c r="E438" s="31">
        <f>105181*0.9</f>
        <v>94662.900000000009</v>
      </c>
      <c r="F438" s="35" t="s">
        <v>13</v>
      </c>
      <c r="G438" s="36">
        <v>46190</v>
      </c>
      <c r="H438" s="35" t="s">
        <v>25</v>
      </c>
    </row>
    <row r="439" spans="1:8" ht="14.25" customHeight="1" x14ac:dyDescent="0.25">
      <c r="A439" s="35" t="s">
        <v>136</v>
      </c>
      <c r="B439" s="35" t="s">
        <v>154</v>
      </c>
      <c r="C439" s="35" t="s">
        <v>37</v>
      </c>
      <c r="D439" s="36">
        <v>46188</v>
      </c>
      <c r="E439" s="12">
        <v>500000</v>
      </c>
      <c r="F439" s="102" t="s">
        <v>13</v>
      </c>
      <c r="G439" s="36">
        <v>46233</v>
      </c>
      <c r="H439" s="35" t="s">
        <v>137</v>
      </c>
    </row>
    <row r="440" spans="1:8" ht="14.25" customHeight="1" x14ac:dyDescent="0.25">
      <c r="A440" s="35" t="s">
        <v>47</v>
      </c>
      <c r="B440" s="35" t="s">
        <v>33</v>
      </c>
      <c r="C440" s="35">
        <v>422426</v>
      </c>
      <c r="D440" s="36">
        <v>46188</v>
      </c>
      <c r="E440" s="31">
        <f>925863*0.88</f>
        <v>814759.44000000006</v>
      </c>
      <c r="F440" s="35" t="s">
        <v>13</v>
      </c>
      <c r="G440" s="36">
        <v>46192</v>
      </c>
      <c r="H440" s="35" t="s">
        <v>25</v>
      </c>
    </row>
    <row r="441" spans="1:8" ht="14.25" customHeight="1" x14ac:dyDescent="0.25">
      <c r="A441" s="35" t="s">
        <v>4</v>
      </c>
      <c r="B441" s="35" t="s">
        <v>52</v>
      </c>
      <c r="C441" s="35" t="s">
        <v>37</v>
      </c>
      <c r="D441" s="36">
        <v>46188</v>
      </c>
      <c r="E441" s="12">
        <v>1500000</v>
      </c>
      <c r="F441" s="35" t="s">
        <v>12</v>
      </c>
      <c r="G441" s="36">
        <v>46188</v>
      </c>
      <c r="H441" s="35" t="s">
        <v>24</v>
      </c>
    </row>
    <row r="442" spans="1:8" ht="14.25" customHeight="1" x14ac:dyDescent="0.25">
      <c r="A442" s="35" t="s">
        <v>5</v>
      </c>
      <c r="B442" s="35" t="s">
        <v>52</v>
      </c>
      <c r="C442" s="35" t="s">
        <v>37</v>
      </c>
      <c r="D442" s="36">
        <v>46188</v>
      </c>
      <c r="E442" s="12">
        <v>1500000</v>
      </c>
      <c r="F442" s="35" t="s">
        <v>12</v>
      </c>
      <c r="G442" s="36">
        <v>46188</v>
      </c>
      <c r="H442" s="35" t="s">
        <v>24</v>
      </c>
    </row>
    <row r="443" spans="1:8" ht="14.25" customHeight="1" x14ac:dyDescent="0.25">
      <c r="A443" s="35" t="s">
        <v>130</v>
      </c>
      <c r="B443" s="35" t="s">
        <v>52</v>
      </c>
      <c r="C443" s="35" t="s">
        <v>37</v>
      </c>
      <c r="D443" s="36">
        <v>46188</v>
      </c>
      <c r="E443" s="12">
        <v>150000</v>
      </c>
      <c r="F443" s="35" t="s">
        <v>13</v>
      </c>
      <c r="G443" s="36">
        <v>46188</v>
      </c>
      <c r="H443" s="35" t="s">
        <v>24</v>
      </c>
    </row>
    <row r="444" spans="1:8" ht="14.25" customHeight="1" x14ac:dyDescent="0.25">
      <c r="A444" s="35" t="s">
        <v>195</v>
      </c>
      <c r="B444" s="35" t="s">
        <v>52</v>
      </c>
      <c r="C444" s="35" t="s">
        <v>37</v>
      </c>
      <c r="D444" s="36">
        <v>46188</v>
      </c>
      <c r="E444" s="12">
        <v>150000</v>
      </c>
      <c r="F444" s="35" t="s">
        <v>13</v>
      </c>
      <c r="G444" s="36">
        <v>46188</v>
      </c>
      <c r="H444" s="35" t="s">
        <v>137</v>
      </c>
    </row>
    <row r="445" spans="1:8" ht="14.25" customHeight="1" x14ac:dyDescent="0.25">
      <c r="A445" s="35" t="s">
        <v>195</v>
      </c>
      <c r="B445" s="35" t="s">
        <v>52</v>
      </c>
      <c r="C445" s="35" t="s">
        <v>260</v>
      </c>
      <c r="D445" s="36">
        <v>46188</v>
      </c>
      <c r="E445" s="12">
        <v>150000</v>
      </c>
      <c r="F445" s="35" t="s">
        <v>13</v>
      </c>
      <c r="G445" s="36">
        <v>46188</v>
      </c>
      <c r="H445" s="35" t="s">
        <v>137</v>
      </c>
    </row>
    <row r="446" spans="1:8" ht="14.25" customHeight="1" x14ac:dyDescent="0.25">
      <c r="A446" s="35" t="s">
        <v>130</v>
      </c>
      <c r="B446" s="35" t="s">
        <v>52</v>
      </c>
      <c r="C446" s="35" t="s">
        <v>260</v>
      </c>
      <c r="D446" s="36">
        <v>46188</v>
      </c>
      <c r="E446" s="12">
        <v>150000</v>
      </c>
      <c r="F446" s="35" t="s">
        <v>13</v>
      </c>
      <c r="G446" s="36">
        <v>46188</v>
      </c>
      <c r="H446" s="35" t="s">
        <v>137</v>
      </c>
    </row>
    <row r="447" spans="1:8" ht="14.25" customHeight="1" x14ac:dyDescent="0.25">
      <c r="A447" s="35" t="s">
        <v>32</v>
      </c>
      <c r="B447" s="35" t="s">
        <v>33</v>
      </c>
      <c r="C447" s="35" t="s">
        <v>226</v>
      </c>
      <c r="D447" s="36">
        <v>46191</v>
      </c>
      <c r="E447" s="12">
        <v>1030310</v>
      </c>
      <c r="F447" s="35" t="s">
        <v>13</v>
      </c>
      <c r="G447" s="36">
        <v>46244</v>
      </c>
      <c r="H447" s="35" t="s">
        <v>25</v>
      </c>
    </row>
    <row r="448" spans="1:8" ht="14.25" customHeight="1" x14ac:dyDescent="0.25">
      <c r="A448" s="35" t="s">
        <v>32</v>
      </c>
      <c r="B448" s="35" t="s">
        <v>33</v>
      </c>
      <c r="C448" s="35" t="s">
        <v>322</v>
      </c>
      <c r="D448" s="36">
        <v>46191</v>
      </c>
      <c r="E448" s="12">
        <f>1920800-380098</f>
        <v>1540702</v>
      </c>
      <c r="F448" s="35" t="s">
        <v>12</v>
      </c>
      <c r="G448" s="36">
        <v>46246</v>
      </c>
      <c r="H448" s="35" t="s">
        <v>25</v>
      </c>
    </row>
    <row r="449" spans="1:9" ht="13.5" customHeight="1" x14ac:dyDescent="0.25">
      <c r="A449" s="35" t="s">
        <v>47</v>
      </c>
      <c r="B449" s="35" t="s">
        <v>33</v>
      </c>
      <c r="C449" s="35">
        <v>422961</v>
      </c>
      <c r="D449" s="36">
        <v>46191</v>
      </c>
      <c r="E449" s="31">
        <f>141357*0.88</f>
        <v>124394.16</v>
      </c>
      <c r="F449" s="35" t="s">
        <v>13</v>
      </c>
      <c r="G449" s="36">
        <v>46192</v>
      </c>
      <c r="H449" s="35" t="s">
        <v>25</v>
      </c>
      <c r="I449" s="112"/>
    </row>
    <row r="450" spans="1:9" ht="13.5" customHeight="1" x14ac:dyDescent="0.25">
      <c r="A450" s="35" t="s">
        <v>47</v>
      </c>
      <c r="B450" s="35" t="s">
        <v>33</v>
      </c>
      <c r="C450" s="35">
        <v>422963</v>
      </c>
      <c r="D450" s="36">
        <v>46191</v>
      </c>
      <c r="E450" s="12">
        <v>1227668</v>
      </c>
      <c r="F450" s="35" t="s">
        <v>12</v>
      </c>
      <c r="G450" s="36">
        <v>46204</v>
      </c>
      <c r="H450" s="35" t="s">
        <v>25</v>
      </c>
    </row>
    <row r="451" spans="1:9" ht="13.5" customHeight="1" x14ac:dyDescent="0.25">
      <c r="A451" s="102" t="s">
        <v>32</v>
      </c>
      <c r="B451" s="35" t="s">
        <v>33</v>
      </c>
      <c r="C451" s="35" t="s">
        <v>323</v>
      </c>
      <c r="D451" s="36">
        <v>46193</v>
      </c>
      <c r="E451" s="12">
        <v>1165700</v>
      </c>
      <c r="F451" s="35" t="s">
        <v>13</v>
      </c>
      <c r="G451" s="36">
        <v>46246</v>
      </c>
      <c r="H451" s="35" t="s">
        <v>25</v>
      </c>
    </row>
    <row r="452" spans="1:9" ht="13.5" customHeight="1" x14ac:dyDescent="0.25">
      <c r="A452" s="35" t="s">
        <v>32</v>
      </c>
      <c r="B452" s="35" t="s">
        <v>33</v>
      </c>
      <c r="C452" s="35" t="s">
        <v>228</v>
      </c>
      <c r="D452" s="36">
        <v>46194</v>
      </c>
      <c r="E452" s="12">
        <v>1025900</v>
      </c>
      <c r="F452" s="35" t="s">
        <v>12</v>
      </c>
      <c r="G452" s="36">
        <v>46253</v>
      </c>
      <c r="H452" s="35" t="s">
        <v>25</v>
      </c>
    </row>
    <row r="453" spans="1:9" ht="13.5" customHeight="1" x14ac:dyDescent="0.25">
      <c r="A453" s="35" t="s">
        <v>32</v>
      </c>
      <c r="B453" s="35" t="s">
        <v>33</v>
      </c>
      <c r="C453" s="35" t="s">
        <v>324</v>
      </c>
      <c r="D453" s="36">
        <v>46195</v>
      </c>
      <c r="E453" s="12">
        <v>338000</v>
      </c>
      <c r="F453" s="35" t="s">
        <v>12</v>
      </c>
      <c r="G453" s="36">
        <v>46253</v>
      </c>
      <c r="H453" s="35" t="s">
        <v>25</v>
      </c>
    </row>
    <row r="454" spans="1:9" ht="13.5" customHeight="1" x14ac:dyDescent="0.25">
      <c r="A454" s="35" t="s">
        <v>32</v>
      </c>
      <c r="B454" s="35" t="s">
        <v>33</v>
      </c>
      <c r="C454" s="35" t="s">
        <v>325</v>
      </c>
      <c r="D454" s="36">
        <v>46195</v>
      </c>
      <c r="E454" s="12">
        <v>238800</v>
      </c>
      <c r="F454" s="35" t="s">
        <v>12</v>
      </c>
      <c r="G454" s="36">
        <v>46253</v>
      </c>
      <c r="H454" s="35" t="s">
        <v>25</v>
      </c>
    </row>
    <row r="455" spans="1:9" ht="13.5" customHeight="1" x14ac:dyDescent="0.25">
      <c r="A455" s="35" t="s">
        <v>32</v>
      </c>
      <c r="B455" s="35" t="s">
        <v>33</v>
      </c>
      <c r="C455" s="35" t="s">
        <v>326</v>
      </c>
      <c r="D455" s="36">
        <v>46197</v>
      </c>
      <c r="E455" s="12">
        <v>661200</v>
      </c>
      <c r="F455" s="35" t="s">
        <v>12</v>
      </c>
      <c r="G455" s="36">
        <v>46253</v>
      </c>
      <c r="H455" s="35" t="s">
        <v>25</v>
      </c>
    </row>
    <row r="456" spans="1:9" ht="13.5" customHeight="1" x14ac:dyDescent="0.25">
      <c r="A456" s="35" t="s">
        <v>57</v>
      </c>
      <c r="B456" s="35" t="s">
        <v>33</v>
      </c>
      <c r="C456" s="35">
        <v>474494</v>
      </c>
      <c r="D456" s="36">
        <v>46198</v>
      </c>
      <c r="E456" s="31">
        <v>213239</v>
      </c>
      <c r="F456" s="35" t="s">
        <v>12</v>
      </c>
      <c r="G456" s="36">
        <v>46199</v>
      </c>
      <c r="H456" s="35" t="s">
        <v>25</v>
      </c>
    </row>
    <row r="457" spans="1:9" ht="13.5" customHeight="1" x14ac:dyDescent="0.25">
      <c r="A457" s="35" t="s">
        <v>32</v>
      </c>
      <c r="B457" s="35" t="s">
        <v>33</v>
      </c>
      <c r="C457" s="35" t="s">
        <v>327</v>
      </c>
      <c r="D457" s="36">
        <v>46198</v>
      </c>
      <c r="E457" s="12">
        <v>848000</v>
      </c>
      <c r="F457" s="35" t="s">
        <v>12</v>
      </c>
      <c r="G457" s="36">
        <v>46253</v>
      </c>
      <c r="H457" s="35" t="s">
        <v>25</v>
      </c>
    </row>
    <row r="458" spans="1:9" ht="13.5" customHeight="1" x14ac:dyDescent="0.25">
      <c r="A458" s="35" t="s">
        <v>47</v>
      </c>
      <c r="B458" s="35" t="s">
        <v>33</v>
      </c>
      <c r="C458" s="35">
        <v>425547</v>
      </c>
      <c r="D458" s="36">
        <v>46198</v>
      </c>
      <c r="E458" s="31">
        <f>340124*0.88+45101</f>
        <v>344410.12</v>
      </c>
      <c r="F458" s="35" t="s">
        <v>12</v>
      </c>
      <c r="G458" s="36">
        <v>46199</v>
      </c>
      <c r="H458" s="35" t="s">
        <v>25</v>
      </c>
    </row>
    <row r="459" spans="1:9" ht="13.5" customHeight="1" x14ac:dyDescent="0.25">
      <c r="A459" s="35" t="s">
        <v>47</v>
      </c>
      <c r="B459" s="35" t="s">
        <v>33</v>
      </c>
      <c r="C459" s="35">
        <v>425574</v>
      </c>
      <c r="D459" s="36">
        <v>46198</v>
      </c>
      <c r="E459" s="12">
        <v>778152</v>
      </c>
      <c r="F459" s="35" t="s">
        <v>12</v>
      </c>
      <c r="G459" s="36">
        <v>46204</v>
      </c>
      <c r="H459" s="35" t="s">
        <v>25</v>
      </c>
    </row>
    <row r="460" spans="1:9" ht="13.5" customHeight="1" x14ac:dyDescent="0.25">
      <c r="A460" s="35" t="s">
        <v>47</v>
      </c>
      <c r="B460" s="35" t="s">
        <v>33</v>
      </c>
      <c r="C460" s="35">
        <v>425576</v>
      </c>
      <c r="D460" s="36">
        <v>46198</v>
      </c>
      <c r="E460" s="31">
        <f>1616242*0.88</f>
        <v>1422292.96</v>
      </c>
      <c r="F460" s="35" t="s">
        <v>12</v>
      </c>
      <c r="G460" s="36">
        <v>46204</v>
      </c>
      <c r="H460" s="35" t="s">
        <v>25</v>
      </c>
    </row>
    <row r="461" spans="1:9" ht="13.5" customHeight="1" x14ac:dyDescent="0.25">
      <c r="A461" s="35" t="s">
        <v>32</v>
      </c>
      <c r="B461" s="35" t="s">
        <v>33</v>
      </c>
      <c r="C461" s="35" t="s">
        <v>328</v>
      </c>
      <c r="D461" s="36">
        <v>46200</v>
      </c>
      <c r="E461" s="12">
        <v>402300</v>
      </c>
      <c r="F461" s="35" t="s">
        <v>13</v>
      </c>
      <c r="G461" s="36">
        <v>46253</v>
      </c>
      <c r="H461" s="35" t="s">
        <v>25</v>
      </c>
    </row>
    <row r="462" spans="1:9" ht="13.5" customHeight="1" x14ac:dyDescent="0.25">
      <c r="A462" s="35" t="s">
        <v>32</v>
      </c>
      <c r="B462" s="35" t="s">
        <v>33</v>
      </c>
      <c r="C462" s="35" t="s">
        <v>329</v>
      </c>
      <c r="D462" s="36">
        <v>46201</v>
      </c>
      <c r="E462" s="12">
        <v>673070</v>
      </c>
      <c r="F462" s="35" t="s">
        <v>13</v>
      </c>
      <c r="G462" s="36">
        <v>46253</v>
      </c>
      <c r="H462" s="35" t="s">
        <v>25</v>
      </c>
    </row>
    <row r="463" spans="1:9" ht="13.5" customHeight="1" x14ac:dyDescent="0.25">
      <c r="A463" s="35" t="s">
        <v>32</v>
      </c>
      <c r="B463" s="35" t="s">
        <v>33</v>
      </c>
      <c r="C463" s="35" t="s">
        <v>330</v>
      </c>
      <c r="D463" s="36">
        <v>46201</v>
      </c>
      <c r="E463" s="12">
        <v>901200</v>
      </c>
      <c r="F463" s="35" t="s">
        <v>13</v>
      </c>
      <c r="G463" s="36">
        <v>46253</v>
      </c>
      <c r="H463" s="35" t="s">
        <v>25</v>
      </c>
    </row>
    <row r="464" spans="1:9" ht="13.5" customHeight="1" x14ac:dyDescent="0.25">
      <c r="A464" s="35" t="s">
        <v>4</v>
      </c>
      <c r="B464" s="35" t="s">
        <v>52</v>
      </c>
      <c r="C464" s="35" t="s">
        <v>37</v>
      </c>
      <c r="D464" s="36">
        <v>46203</v>
      </c>
      <c r="E464" s="12">
        <v>1500000</v>
      </c>
      <c r="F464" s="35" t="s">
        <v>12</v>
      </c>
      <c r="G464" s="36">
        <v>46209</v>
      </c>
      <c r="H464" s="35" t="s">
        <v>137</v>
      </c>
    </row>
    <row r="465" spans="1:8" ht="13.5" customHeight="1" x14ac:dyDescent="0.25">
      <c r="A465" s="35" t="s">
        <v>5</v>
      </c>
      <c r="B465" s="35" t="s">
        <v>52</v>
      </c>
      <c r="C465" s="35" t="s">
        <v>37</v>
      </c>
      <c r="D465" s="36">
        <v>46203</v>
      </c>
      <c r="E465" s="12">
        <v>1500000</v>
      </c>
      <c r="F465" s="35" t="s">
        <v>12</v>
      </c>
      <c r="G465" s="36">
        <v>46209</v>
      </c>
      <c r="H465" s="35" t="s">
        <v>137</v>
      </c>
    </row>
    <row r="466" spans="1:8" ht="13.5" customHeight="1" x14ac:dyDescent="0.25">
      <c r="A466" s="35" t="s">
        <v>51</v>
      </c>
      <c r="B466" s="35" t="s">
        <v>52</v>
      </c>
      <c r="C466" s="35" t="s">
        <v>37</v>
      </c>
      <c r="D466" s="36">
        <v>46203</v>
      </c>
      <c r="E466" s="12">
        <v>150000</v>
      </c>
      <c r="F466" s="35" t="s">
        <v>13</v>
      </c>
      <c r="G466" s="36">
        <v>46203</v>
      </c>
      <c r="H466" s="35" t="s">
        <v>24</v>
      </c>
    </row>
    <row r="467" spans="1:8" ht="13.5" customHeight="1" x14ac:dyDescent="0.25">
      <c r="A467" s="35" t="s">
        <v>108</v>
      </c>
      <c r="B467" s="35" t="s">
        <v>52</v>
      </c>
      <c r="C467" s="35" t="s">
        <v>37</v>
      </c>
      <c r="D467" s="36">
        <v>46203</v>
      </c>
      <c r="E467" s="12">
        <v>150000</v>
      </c>
      <c r="F467" s="35" t="s">
        <v>13</v>
      </c>
      <c r="G467" s="36">
        <v>46203</v>
      </c>
      <c r="H467" s="35" t="s">
        <v>24</v>
      </c>
    </row>
    <row r="468" spans="1:8" ht="13.5" customHeight="1" x14ac:dyDescent="0.25">
      <c r="A468" s="35" t="s">
        <v>136</v>
      </c>
      <c r="B468" s="35" t="s">
        <v>154</v>
      </c>
      <c r="C468" s="35" t="s">
        <v>37</v>
      </c>
      <c r="D468" s="36">
        <v>46203</v>
      </c>
      <c r="E468" s="12">
        <v>500000</v>
      </c>
      <c r="F468" s="102" t="s">
        <v>13</v>
      </c>
      <c r="G468" s="36">
        <v>46245</v>
      </c>
      <c r="H468" s="35" t="s">
        <v>137</v>
      </c>
    </row>
    <row r="469" spans="1:8" ht="13.5" customHeight="1" x14ac:dyDescent="0.25">
      <c r="A469" s="35" t="s">
        <v>32</v>
      </c>
      <c r="B469" s="35" t="s">
        <v>33</v>
      </c>
      <c r="C469" s="35" t="s">
        <v>331</v>
      </c>
      <c r="D469" s="36">
        <v>46204</v>
      </c>
      <c r="E469" s="12">
        <v>605200</v>
      </c>
      <c r="F469" s="35" t="s">
        <v>12</v>
      </c>
      <c r="G469" s="36">
        <v>46258</v>
      </c>
      <c r="H469" s="35" t="s">
        <v>25</v>
      </c>
    </row>
    <row r="470" spans="1:8" ht="13.5" customHeight="1" x14ac:dyDescent="0.25">
      <c r="A470" s="35" t="s">
        <v>32</v>
      </c>
      <c r="B470" s="35" t="s">
        <v>33</v>
      </c>
      <c r="C470" s="35" t="s">
        <v>332</v>
      </c>
      <c r="D470" s="36">
        <v>46207</v>
      </c>
      <c r="E470" s="12">
        <v>1277850</v>
      </c>
      <c r="F470" s="35" t="s">
        <v>12</v>
      </c>
      <c r="G470" s="36">
        <v>46258</v>
      </c>
      <c r="H470" s="35" t="s">
        <v>25</v>
      </c>
    </row>
    <row r="471" spans="1:8" ht="13.5" customHeight="1" x14ac:dyDescent="0.25">
      <c r="A471" s="35" t="s">
        <v>32</v>
      </c>
      <c r="B471" s="35" t="s">
        <v>33</v>
      </c>
      <c r="C471" s="35" t="s">
        <v>333</v>
      </c>
      <c r="D471" s="36">
        <v>46208</v>
      </c>
      <c r="E471" s="12">
        <v>645650</v>
      </c>
      <c r="F471" s="35" t="s">
        <v>13</v>
      </c>
      <c r="G471" s="36">
        <v>46265</v>
      </c>
      <c r="H471" s="35" t="s">
        <v>25</v>
      </c>
    </row>
    <row r="472" spans="1:8" ht="13.5" customHeight="1" x14ac:dyDescent="0.25">
      <c r="A472" s="35" t="s">
        <v>58</v>
      </c>
      <c r="B472" s="35" t="s">
        <v>59</v>
      </c>
      <c r="C472" s="35" t="s">
        <v>38</v>
      </c>
      <c r="D472" s="36">
        <v>46208</v>
      </c>
      <c r="E472" s="12">
        <v>3000000</v>
      </c>
      <c r="F472" s="35" t="s">
        <v>12</v>
      </c>
      <c r="G472" s="36">
        <v>46217</v>
      </c>
      <c r="H472" s="35" t="s">
        <v>24</v>
      </c>
    </row>
    <row r="473" spans="1:8" ht="13.5" customHeight="1" x14ac:dyDescent="0.25">
      <c r="A473" s="35" t="s">
        <v>32</v>
      </c>
      <c r="B473" s="35" t="s">
        <v>33</v>
      </c>
      <c r="C473" s="52" t="s">
        <v>334</v>
      </c>
      <c r="D473" s="36">
        <v>46209</v>
      </c>
      <c r="E473" s="12">
        <v>367500</v>
      </c>
      <c r="F473" s="52" t="s">
        <v>13</v>
      </c>
      <c r="G473" s="36">
        <v>46258</v>
      </c>
      <c r="H473" s="35" t="s">
        <v>25</v>
      </c>
    </row>
    <row r="474" spans="1:8" ht="13.5" customHeight="1" x14ac:dyDescent="0.25">
      <c r="A474" s="35" t="s">
        <v>32</v>
      </c>
      <c r="B474" s="35" t="s">
        <v>33</v>
      </c>
      <c r="C474" s="35" t="s">
        <v>335</v>
      </c>
      <c r="D474" s="36">
        <v>46212</v>
      </c>
      <c r="E474" s="12">
        <v>124200</v>
      </c>
      <c r="F474" s="35" t="s">
        <v>13</v>
      </c>
      <c r="G474" s="36">
        <v>46258</v>
      </c>
      <c r="H474" s="35" t="s">
        <v>25</v>
      </c>
    </row>
    <row r="475" spans="1:8" ht="13.5" customHeight="1" x14ac:dyDescent="0.25">
      <c r="A475" s="35" t="s">
        <v>32</v>
      </c>
      <c r="B475" s="35" t="s">
        <v>33</v>
      </c>
      <c r="C475" s="35" t="s">
        <v>336</v>
      </c>
      <c r="D475" s="36">
        <v>46212</v>
      </c>
      <c r="E475" s="12">
        <v>796850</v>
      </c>
      <c r="F475" s="35" t="s">
        <v>13</v>
      </c>
      <c r="G475" s="36">
        <v>46258</v>
      </c>
      <c r="H475" s="35" t="s">
        <v>25</v>
      </c>
    </row>
    <row r="476" spans="1:8" ht="13.5" customHeight="1" x14ac:dyDescent="0.25">
      <c r="A476" s="35" t="s">
        <v>45</v>
      </c>
      <c r="B476" s="35" t="s">
        <v>46</v>
      </c>
      <c r="C476" s="35" t="s">
        <v>38</v>
      </c>
      <c r="D476" s="36">
        <v>46213</v>
      </c>
      <c r="E476" s="12">
        <v>100000</v>
      </c>
      <c r="F476" s="35" t="s">
        <v>12</v>
      </c>
      <c r="G476" s="36">
        <v>46212</v>
      </c>
      <c r="H476" s="35" t="s">
        <v>24</v>
      </c>
    </row>
    <row r="477" spans="1:8" ht="13.5" customHeight="1" x14ac:dyDescent="0.25">
      <c r="A477" s="35" t="s">
        <v>48</v>
      </c>
      <c r="B477" s="35">
        <v>7714670</v>
      </c>
      <c r="C477" s="35" t="s">
        <v>38</v>
      </c>
      <c r="D477" s="36">
        <v>46213</v>
      </c>
      <c r="E477" s="12">
        <v>2000940</v>
      </c>
      <c r="F477" s="35" t="s">
        <v>13</v>
      </c>
      <c r="G477" s="36">
        <v>46212</v>
      </c>
      <c r="H477" s="35" t="s">
        <v>24</v>
      </c>
    </row>
    <row r="478" spans="1:8" ht="13.5" customHeight="1" x14ac:dyDescent="0.25">
      <c r="A478" s="35" t="s">
        <v>53</v>
      </c>
      <c r="B478" s="35" t="s">
        <v>54</v>
      </c>
      <c r="C478" s="35" t="s">
        <v>38</v>
      </c>
      <c r="D478" s="36">
        <v>46213</v>
      </c>
      <c r="E478" s="12">
        <v>207550</v>
      </c>
      <c r="F478" s="35" t="s">
        <v>12</v>
      </c>
      <c r="G478" s="36">
        <v>46213</v>
      </c>
      <c r="H478" s="35" t="s">
        <v>24</v>
      </c>
    </row>
    <row r="479" spans="1:8" ht="13.5" customHeight="1" x14ac:dyDescent="0.25">
      <c r="A479" s="35" t="s">
        <v>32</v>
      </c>
      <c r="B479" s="35" t="s">
        <v>33</v>
      </c>
      <c r="C479" s="35" t="s">
        <v>337</v>
      </c>
      <c r="D479" s="36">
        <v>46215</v>
      </c>
      <c r="E479" s="12">
        <v>380121</v>
      </c>
      <c r="F479" s="35" t="s">
        <v>13</v>
      </c>
      <c r="G479" s="36">
        <v>46258</v>
      </c>
      <c r="H479" s="35" t="s">
        <v>25</v>
      </c>
    </row>
    <row r="480" spans="1:8" ht="13.5" customHeight="1" x14ac:dyDescent="0.25">
      <c r="A480" s="35" t="s">
        <v>32</v>
      </c>
      <c r="B480" s="35" t="s">
        <v>33</v>
      </c>
      <c r="C480" s="35" t="s">
        <v>338</v>
      </c>
      <c r="D480" s="36">
        <v>46215</v>
      </c>
      <c r="E480" s="12">
        <v>1415800</v>
      </c>
      <c r="F480" s="35" t="s">
        <v>13</v>
      </c>
      <c r="G480" s="36">
        <v>46265</v>
      </c>
      <c r="H480" s="35" t="s">
        <v>25</v>
      </c>
    </row>
    <row r="481" spans="1:8" ht="13.5" customHeight="1" x14ac:dyDescent="0.25">
      <c r="A481" s="35" t="s">
        <v>47</v>
      </c>
      <c r="B481" s="35" t="s">
        <v>33</v>
      </c>
      <c r="C481" s="35">
        <v>431641</v>
      </c>
      <c r="D481" s="36">
        <v>46215</v>
      </c>
      <c r="E481" s="31">
        <f>351308*0.88</f>
        <v>309151.03999999998</v>
      </c>
      <c r="F481" s="35" t="s">
        <v>12</v>
      </c>
      <c r="G481" s="36">
        <v>46220</v>
      </c>
      <c r="H481" s="35" t="s">
        <v>25</v>
      </c>
    </row>
    <row r="482" spans="1:8" ht="13.5" customHeight="1" x14ac:dyDescent="0.25">
      <c r="A482" s="35" t="s">
        <v>47</v>
      </c>
      <c r="B482" s="35" t="s">
        <v>33</v>
      </c>
      <c r="C482" s="35">
        <v>425576</v>
      </c>
      <c r="D482" s="36">
        <v>46215</v>
      </c>
      <c r="E482" s="12">
        <v>683614</v>
      </c>
      <c r="F482" s="35" t="s">
        <v>12</v>
      </c>
      <c r="G482" s="36">
        <v>46204</v>
      </c>
      <c r="H482" s="35" t="s">
        <v>25</v>
      </c>
    </row>
    <row r="483" spans="1:8" ht="13.5" customHeight="1" x14ac:dyDescent="0.25">
      <c r="A483" s="35" t="s">
        <v>47</v>
      </c>
      <c r="B483" s="35" t="s">
        <v>33</v>
      </c>
      <c r="C483" s="35">
        <v>431645</v>
      </c>
      <c r="D483" s="36">
        <v>46215</v>
      </c>
      <c r="E483" s="12">
        <v>683614</v>
      </c>
      <c r="F483" s="35" t="s">
        <v>12</v>
      </c>
      <c r="G483" s="36">
        <v>46220</v>
      </c>
      <c r="H483" s="35" t="s">
        <v>25</v>
      </c>
    </row>
    <row r="484" spans="1:8" ht="13.5" customHeight="1" x14ac:dyDescent="0.25">
      <c r="A484" s="35" t="s">
        <v>44</v>
      </c>
      <c r="B484" s="35">
        <v>894509</v>
      </c>
      <c r="C484" s="35" t="s">
        <v>38</v>
      </c>
      <c r="D484" s="36">
        <v>46216</v>
      </c>
      <c r="E484" s="12">
        <v>291746</v>
      </c>
      <c r="F484" s="35" t="s">
        <v>12</v>
      </c>
      <c r="G484" s="36">
        <v>46216</v>
      </c>
      <c r="H484" s="35" t="s">
        <v>137</v>
      </c>
    </row>
    <row r="485" spans="1:8" ht="13.5" customHeight="1" x14ac:dyDescent="0.25">
      <c r="A485" s="35" t="s">
        <v>4</v>
      </c>
      <c r="B485" s="35" t="s">
        <v>52</v>
      </c>
      <c r="C485" s="35" t="s">
        <v>38</v>
      </c>
      <c r="D485" s="36">
        <v>46218</v>
      </c>
      <c r="E485" s="12">
        <v>1500000</v>
      </c>
      <c r="F485" s="35" t="s">
        <v>12</v>
      </c>
      <c r="G485" s="36">
        <v>46224</v>
      </c>
      <c r="H485" s="35" t="s">
        <v>137</v>
      </c>
    </row>
    <row r="486" spans="1:8" ht="13.5" customHeight="1" x14ac:dyDescent="0.25">
      <c r="A486" s="35" t="s">
        <v>5</v>
      </c>
      <c r="B486" s="35" t="s">
        <v>52</v>
      </c>
      <c r="C486" s="35" t="s">
        <v>38</v>
      </c>
      <c r="D486" s="36">
        <v>46218</v>
      </c>
      <c r="E486" s="12">
        <v>1500000</v>
      </c>
      <c r="F486" s="35"/>
      <c r="G486" s="35"/>
      <c r="H486" s="35"/>
    </row>
    <row r="487" spans="1:8" ht="13.5" customHeight="1" x14ac:dyDescent="0.25">
      <c r="A487" s="35" t="s">
        <v>130</v>
      </c>
      <c r="B487" s="35" t="s">
        <v>52</v>
      </c>
      <c r="C487" s="35" t="s">
        <v>38</v>
      </c>
      <c r="D487" s="36">
        <v>46218</v>
      </c>
      <c r="E487" s="12">
        <v>150000</v>
      </c>
      <c r="F487" s="35" t="s">
        <v>13</v>
      </c>
      <c r="G487" s="36">
        <v>46218</v>
      </c>
      <c r="H487" s="35" t="s">
        <v>137</v>
      </c>
    </row>
    <row r="488" spans="1:8" ht="13.5" customHeight="1" x14ac:dyDescent="0.25">
      <c r="A488" s="35" t="s">
        <v>136</v>
      </c>
      <c r="B488" s="35" t="s">
        <v>154</v>
      </c>
      <c r="C488" s="35" t="s">
        <v>38</v>
      </c>
      <c r="D488" s="36">
        <v>46218</v>
      </c>
      <c r="E488" s="12">
        <v>500000</v>
      </c>
      <c r="F488" s="102" t="s">
        <v>13</v>
      </c>
      <c r="G488" s="36">
        <v>46270</v>
      </c>
      <c r="H488" s="35" t="s">
        <v>137</v>
      </c>
    </row>
    <row r="489" spans="1:8" ht="13.5" customHeight="1" x14ac:dyDescent="0.25">
      <c r="A489" s="35" t="s">
        <v>195</v>
      </c>
      <c r="B489" s="35" t="s">
        <v>52</v>
      </c>
      <c r="C489" s="35" t="s">
        <v>38</v>
      </c>
      <c r="D489" s="36">
        <v>46218</v>
      </c>
      <c r="E489" s="12">
        <v>150000</v>
      </c>
      <c r="F489" s="35" t="s">
        <v>13</v>
      </c>
      <c r="G489" s="36">
        <v>46218</v>
      </c>
      <c r="H489" s="35" t="s">
        <v>137</v>
      </c>
    </row>
    <row r="490" spans="1:8" ht="13.5" customHeight="1" x14ac:dyDescent="0.25">
      <c r="A490" s="35" t="s">
        <v>32</v>
      </c>
      <c r="B490" s="35" t="s">
        <v>33</v>
      </c>
      <c r="C490" s="35" t="s">
        <v>339</v>
      </c>
      <c r="D490" s="36">
        <v>46219</v>
      </c>
      <c r="E490" s="12">
        <v>1616900</v>
      </c>
      <c r="F490" s="35" t="s">
        <v>12</v>
      </c>
      <c r="G490" s="36">
        <v>46265</v>
      </c>
      <c r="H490" s="35" t="s">
        <v>25</v>
      </c>
    </row>
    <row r="491" spans="1:8" ht="13.5" customHeight="1" x14ac:dyDescent="0.25">
      <c r="A491" s="35" t="s">
        <v>50</v>
      </c>
      <c r="B491" s="35" t="s">
        <v>33</v>
      </c>
      <c r="C491" s="35">
        <v>14692</v>
      </c>
      <c r="D491" s="36">
        <v>46219</v>
      </c>
      <c r="E491" s="31">
        <f>(274992-53558.82)*0.9+5410</f>
        <v>204699.86199999999</v>
      </c>
      <c r="F491" s="35" t="s">
        <v>13</v>
      </c>
      <c r="G491" s="36">
        <v>46190</v>
      </c>
      <c r="H491" s="35" t="s">
        <v>25</v>
      </c>
    </row>
    <row r="492" spans="1:8" ht="13.5" customHeight="1" x14ac:dyDescent="0.25">
      <c r="A492" s="35" t="s">
        <v>32</v>
      </c>
      <c r="B492" s="35" t="s">
        <v>33</v>
      </c>
      <c r="C492" s="35" t="s">
        <v>340</v>
      </c>
      <c r="D492" s="36">
        <v>46223</v>
      </c>
      <c r="E492" s="12">
        <v>1455850</v>
      </c>
      <c r="F492" s="35" t="s">
        <v>13</v>
      </c>
      <c r="G492" s="36">
        <v>46272</v>
      </c>
      <c r="H492" s="35" t="s">
        <v>25</v>
      </c>
    </row>
    <row r="493" spans="1:8" ht="13.5" customHeight="1" x14ac:dyDescent="0.25">
      <c r="A493" s="35" t="s">
        <v>32</v>
      </c>
      <c r="B493" s="35" t="s">
        <v>33</v>
      </c>
      <c r="C493" s="35" t="s">
        <v>341</v>
      </c>
      <c r="D493" s="36">
        <v>46226</v>
      </c>
      <c r="E493" s="12">
        <v>906900</v>
      </c>
      <c r="F493" s="35"/>
      <c r="G493" s="35"/>
      <c r="H493" s="35" t="s">
        <v>25</v>
      </c>
    </row>
    <row r="494" spans="1:8" ht="13.5" customHeight="1" x14ac:dyDescent="0.25">
      <c r="A494" s="35" t="s">
        <v>32</v>
      </c>
      <c r="B494" s="35" t="s">
        <v>33</v>
      </c>
      <c r="C494" s="35" t="s">
        <v>342</v>
      </c>
      <c r="D494" s="36">
        <v>46228</v>
      </c>
      <c r="E494" s="12">
        <v>1289838</v>
      </c>
      <c r="F494" s="35"/>
      <c r="G494" s="35"/>
      <c r="H494" s="35" t="s">
        <v>25</v>
      </c>
    </row>
    <row r="495" spans="1:8" ht="13.5" customHeight="1" x14ac:dyDescent="0.25">
      <c r="A495" s="35" t="s">
        <v>32</v>
      </c>
      <c r="B495" s="35" t="s">
        <v>33</v>
      </c>
      <c r="C495" s="102" t="s">
        <v>343</v>
      </c>
      <c r="D495" s="36">
        <v>46230</v>
      </c>
      <c r="E495" s="12">
        <v>958920</v>
      </c>
      <c r="F495" s="35"/>
      <c r="G495" s="35"/>
      <c r="H495" s="35" t="s">
        <v>25</v>
      </c>
    </row>
    <row r="496" spans="1:8" ht="13.5" customHeight="1" x14ac:dyDescent="0.25">
      <c r="A496" s="35" t="s">
        <v>4</v>
      </c>
      <c r="B496" s="35" t="s">
        <v>52</v>
      </c>
      <c r="C496" s="35" t="s">
        <v>38</v>
      </c>
      <c r="D496" s="36">
        <v>46233</v>
      </c>
      <c r="E496" s="12">
        <v>1500000</v>
      </c>
      <c r="F496" s="35"/>
      <c r="G496" s="35"/>
      <c r="H496" s="35"/>
    </row>
    <row r="497" spans="1:8" ht="13.5" customHeight="1" x14ac:dyDescent="0.25">
      <c r="A497" s="35" t="s">
        <v>5</v>
      </c>
      <c r="B497" s="35" t="s">
        <v>52</v>
      </c>
      <c r="C497" s="35" t="s">
        <v>38</v>
      </c>
      <c r="D497" s="36">
        <v>46233</v>
      </c>
      <c r="E497" s="12">
        <v>1500000</v>
      </c>
      <c r="F497" s="35"/>
      <c r="G497" s="35"/>
      <c r="H497" s="35"/>
    </row>
    <row r="498" spans="1:8" ht="13.5" customHeight="1" x14ac:dyDescent="0.25">
      <c r="A498" s="35" t="s">
        <v>300</v>
      </c>
      <c r="B498" s="35" t="s">
        <v>52</v>
      </c>
      <c r="C498" s="35" t="s">
        <v>38</v>
      </c>
      <c r="D498" s="36">
        <v>46233</v>
      </c>
      <c r="E498" s="12">
        <v>150000</v>
      </c>
      <c r="F498" s="35" t="s">
        <v>13</v>
      </c>
      <c r="G498" s="36">
        <v>46233</v>
      </c>
      <c r="H498" s="35"/>
    </row>
    <row r="499" spans="1:8" ht="13.5" customHeight="1" x14ac:dyDescent="0.25">
      <c r="A499" s="35" t="s">
        <v>195</v>
      </c>
      <c r="B499" s="35" t="s">
        <v>52</v>
      </c>
      <c r="C499" s="35" t="s">
        <v>38</v>
      </c>
      <c r="D499" s="36">
        <v>46233</v>
      </c>
      <c r="E499" s="12">
        <v>150000</v>
      </c>
      <c r="F499" s="35" t="s">
        <v>13</v>
      </c>
      <c r="G499" s="36">
        <v>46233</v>
      </c>
      <c r="H499" s="35"/>
    </row>
    <row r="500" spans="1:8" ht="13.5" customHeight="1" x14ac:dyDescent="0.25">
      <c r="A500" s="35" t="s">
        <v>32</v>
      </c>
      <c r="B500" s="35" t="s">
        <v>33</v>
      </c>
      <c r="C500" s="35" t="s">
        <v>344</v>
      </c>
      <c r="D500" s="36">
        <v>46233</v>
      </c>
      <c r="E500" s="12">
        <v>533600</v>
      </c>
      <c r="F500" s="35"/>
      <c r="G500" s="35"/>
      <c r="H500" s="35" t="s">
        <v>25</v>
      </c>
    </row>
    <row r="501" spans="1:8" ht="13.5" customHeight="1" x14ac:dyDescent="0.25">
      <c r="A501" s="35" t="s">
        <v>136</v>
      </c>
      <c r="B501" s="35" t="s">
        <v>154</v>
      </c>
      <c r="C501" s="35" t="s">
        <v>38</v>
      </c>
      <c r="D501" s="36">
        <v>46233</v>
      </c>
      <c r="E501" s="12">
        <v>500000</v>
      </c>
      <c r="F501" s="35"/>
      <c r="G501" s="35"/>
      <c r="H501" s="35" t="s">
        <v>137</v>
      </c>
    </row>
    <row r="502" spans="1:8" ht="13.5" customHeight="1" x14ac:dyDescent="0.25">
      <c r="A502" s="35" t="s">
        <v>47</v>
      </c>
      <c r="B502" s="35" t="s">
        <v>33</v>
      </c>
      <c r="C502" s="35">
        <v>437461</v>
      </c>
      <c r="D502" s="36">
        <v>46234</v>
      </c>
      <c r="E502" s="31">
        <f>1383420*0.88</f>
        <v>1217409.6000000001</v>
      </c>
      <c r="F502" s="35" t="s">
        <v>12</v>
      </c>
      <c r="G502" s="36">
        <v>46234</v>
      </c>
      <c r="H502" s="35" t="s">
        <v>25</v>
      </c>
    </row>
    <row r="503" spans="1:8" ht="13.5" customHeight="1" x14ac:dyDescent="0.25">
      <c r="A503" s="35" t="s">
        <v>32</v>
      </c>
      <c r="B503" s="35" t="s">
        <v>33</v>
      </c>
      <c r="C503" s="35" t="s">
        <v>345</v>
      </c>
      <c r="D503" s="36">
        <v>46235</v>
      </c>
      <c r="E503" s="12">
        <v>1081600</v>
      </c>
      <c r="F503" s="35"/>
      <c r="G503" s="35"/>
      <c r="H503" s="35" t="s">
        <v>25</v>
      </c>
    </row>
    <row r="504" spans="1:8" ht="13.5" customHeight="1" x14ac:dyDescent="0.25">
      <c r="A504" s="35" t="s">
        <v>32</v>
      </c>
      <c r="B504" s="35" t="s">
        <v>33</v>
      </c>
      <c r="C504" s="35" t="s">
        <v>346</v>
      </c>
      <c r="D504" s="36">
        <v>46235</v>
      </c>
      <c r="E504" s="12">
        <v>292200</v>
      </c>
      <c r="F504" s="35"/>
      <c r="G504" s="35"/>
      <c r="H504" s="35" t="s">
        <v>25</v>
      </c>
    </row>
    <row r="505" spans="1:8" ht="13.5" customHeight="1" x14ac:dyDescent="0.25">
      <c r="A505" s="35" t="s">
        <v>32</v>
      </c>
      <c r="B505" s="35" t="s">
        <v>33</v>
      </c>
      <c r="C505" s="35" t="s">
        <v>347</v>
      </c>
      <c r="D505" s="36">
        <v>46236</v>
      </c>
      <c r="E505" s="12">
        <v>2016450</v>
      </c>
      <c r="F505" s="35"/>
      <c r="G505" s="35"/>
      <c r="H505" s="35" t="s">
        <v>25</v>
      </c>
    </row>
    <row r="506" spans="1:8" ht="13.5" customHeight="1" x14ac:dyDescent="0.25">
      <c r="A506" s="35" t="s">
        <v>32</v>
      </c>
      <c r="B506" s="35" t="s">
        <v>33</v>
      </c>
      <c r="C506" s="35" t="s">
        <v>348</v>
      </c>
      <c r="D506" s="36">
        <v>46237</v>
      </c>
      <c r="E506" s="12">
        <v>735300</v>
      </c>
      <c r="F506" s="35"/>
      <c r="G506" s="35"/>
      <c r="H506" s="35" t="s">
        <v>25</v>
      </c>
    </row>
    <row r="507" spans="1:8" ht="13.5" customHeight="1" x14ac:dyDescent="0.25">
      <c r="A507" s="35" t="s">
        <v>32</v>
      </c>
      <c r="B507" s="35" t="s">
        <v>33</v>
      </c>
      <c r="C507" s="35" t="s">
        <v>349</v>
      </c>
      <c r="D507" s="36">
        <v>46239</v>
      </c>
      <c r="E507" s="12">
        <v>549750</v>
      </c>
      <c r="F507" s="35"/>
      <c r="G507" s="35"/>
      <c r="H507" s="35" t="s">
        <v>25</v>
      </c>
    </row>
    <row r="508" spans="1:8" ht="13.5" customHeight="1" x14ac:dyDescent="0.25">
      <c r="A508" s="35" t="s">
        <v>58</v>
      </c>
      <c r="B508" s="35" t="s">
        <v>59</v>
      </c>
      <c r="C508" s="35" t="s">
        <v>39</v>
      </c>
      <c r="D508" s="36">
        <v>46239</v>
      </c>
      <c r="E508" s="12">
        <v>3000000</v>
      </c>
      <c r="F508" s="35" t="s">
        <v>12</v>
      </c>
      <c r="G508" s="36">
        <v>46244</v>
      </c>
      <c r="H508" s="35" t="s">
        <v>24</v>
      </c>
    </row>
    <row r="509" spans="1:8" ht="13.5" customHeight="1" x14ac:dyDescent="0.25">
      <c r="A509" s="35" t="s">
        <v>32</v>
      </c>
      <c r="B509" s="35" t="s">
        <v>33</v>
      </c>
      <c r="C509" s="35" t="s">
        <v>350</v>
      </c>
      <c r="D509" s="36">
        <v>46242</v>
      </c>
      <c r="E509" s="12">
        <v>768026</v>
      </c>
      <c r="F509" s="35"/>
      <c r="G509" s="35"/>
      <c r="H509" s="35" t="s">
        <v>25</v>
      </c>
    </row>
    <row r="510" spans="1:8" ht="13.5" customHeight="1" x14ac:dyDescent="0.25">
      <c r="A510" s="35" t="s">
        <v>47</v>
      </c>
      <c r="B510" s="35" t="s">
        <v>33</v>
      </c>
      <c r="C510" s="35">
        <v>441343</v>
      </c>
      <c r="D510" s="36">
        <v>46242</v>
      </c>
      <c r="E510" s="12">
        <v>300259</v>
      </c>
      <c r="F510" s="35" t="s">
        <v>12</v>
      </c>
      <c r="G510" s="36">
        <v>46244</v>
      </c>
      <c r="H510" s="35" t="s">
        <v>25</v>
      </c>
    </row>
    <row r="511" spans="1:8" ht="13.5" customHeight="1" x14ac:dyDescent="0.25">
      <c r="A511" s="35" t="s">
        <v>47</v>
      </c>
      <c r="B511" s="35" t="s">
        <v>185</v>
      </c>
      <c r="C511" s="35">
        <v>441358</v>
      </c>
      <c r="D511" s="36">
        <v>46242</v>
      </c>
      <c r="E511" s="31">
        <f>170167*0.88+32332</f>
        <v>182078.96</v>
      </c>
      <c r="F511" s="35" t="s">
        <v>12</v>
      </c>
      <c r="G511" s="36">
        <v>46244</v>
      </c>
      <c r="H511" s="35" t="s">
        <v>25</v>
      </c>
    </row>
    <row r="512" spans="1:8" ht="13.5" customHeight="1" x14ac:dyDescent="0.25">
      <c r="A512" s="35" t="s">
        <v>47</v>
      </c>
      <c r="B512" s="35" t="s">
        <v>185</v>
      </c>
      <c r="C512" s="35">
        <v>441551</v>
      </c>
      <c r="D512" s="36">
        <v>46243</v>
      </c>
      <c r="E512" s="31">
        <f>144002*0.88+27360</f>
        <v>154081.76</v>
      </c>
      <c r="F512" s="35" t="s">
        <v>12</v>
      </c>
      <c r="G512" s="36">
        <v>46244</v>
      </c>
      <c r="H512" s="35" t="s">
        <v>25</v>
      </c>
    </row>
    <row r="513" spans="1:8" ht="13.5" customHeight="1" x14ac:dyDescent="0.25">
      <c r="A513" s="35" t="s">
        <v>32</v>
      </c>
      <c r="B513" s="35" t="s">
        <v>33</v>
      </c>
      <c r="C513" s="35" t="s">
        <v>351</v>
      </c>
      <c r="D513" s="36">
        <v>46243</v>
      </c>
      <c r="E513" s="12">
        <v>838350</v>
      </c>
      <c r="F513" s="35"/>
      <c r="G513" s="35"/>
      <c r="H513" s="35" t="s">
        <v>25</v>
      </c>
    </row>
    <row r="514" spans="1:8" ht="13.5" customHeight="1" x14ac:dyDescent="0.25">
      <c r="A514" s="35" t="s">
        <v>45</v>
      </c>
      <c r="B514" s="35" t="s">
        <v>46</v>
      </c>
      <c r="C514" s="35" t="s">
        <v>39</v>
      </c>
      <c r="D514" s="36">
        <v>46244</v>
      </c>
      <c r="E514" s="12">
        <v>100000</v>
      </c>
      <c r="F514" s="35" t="s">
        <v>12</v>
      </c>
      <c r="G514" s="36">
        <v>46242</v>
      </c>
      <c r="H514" s="35"/>
    </row>
    <row r="515" spans="1:8" ht="13.5" customHeight="1" x14ac:dyDescent="0.25">
      <c r="A515" s="35" t="s">
        <v>32</v>
      </c>
      <c r="B515" s="35" t="s">
        <v>33</v>
      </c>
      <c r="C515" s="35" t="s">
        <v>352</v>
      </c>
      <c r="D515" s="36">
        <v>46244</v>
      </c>
      <c r="E515" s="12">
        <v>462700</v>
      </c>
      <c r="F515" s="35"/>
      <c r="G515" s="35"/>
      <c r="H515" s="35" t="s">
        <v>25</v>
      </c>
    </row>
    <row r="516" spans="1:8" ht="13.5" customHeight="1" x14ac:dyDescent="0.25">
      <c r="A516" s="35" t="s">
        <v>48</v>
      </c>
      <c r="B516" s="35" t="s">
        <v>49</v>
      </c>
      <c r="C516" s="35">
        <v>7714670</v>
      </c>
      <c r="D516" s="36">
        <v>46244</v>
      </c>
      <c r="E516" s="12">
        <v>2364850</v>
      </c>
      <c r="F516" s="35" t="s">
        <v>13</v>
      </c>
      <c r="G516" s="36">
        <v>46244</v>
      </c>
      <c r="H516" s="35" t="s">
        <v>24</v>
      </c>
    </row>
    <row r="517" spans="1:8" ht="13.5" customHeight="1" x14ac:dyDescent="0.25">
      <c r="A517" s="35" t="s">
        <v>44</v>
      </c>
      <c r="B517" s="35">
        <v>894509</v>
      </c>
      <c r="C517" s="35" t="s">
        <v>39</v>
      </c>
      <c r="D517" s="36">
        <v>46247</v>
      </c>
      <c r="E517" s="12">
        <v>304187</v>
      </c>
      <c r="F517" s="35" t="s">
        <v>13</v>
      </c>
      <c r="G517" s="36">
        <v>46247</v>
      </c>
      <c r="H517" s="35" t="s">
        <v>137</v>
      </c>
    </row>
    <row r="518" spans="1:8" ht="13.5" customHeight="1" x14ac:dyDescent="0.25">
      <c r="A518" s="35" t="s">
        <v>32</v>
      </c>
      <c r="B518" s="35" t="s">
        <v>33</v>
      </c>
      <c r="C518" s="35" t="s">
        <v>353</v>
      </c>
      <c r="D518" s="36">
        <v>46247</v>
      </c>
      <c r="E518" s="12">
        <v>909830</v>
      </c>
      <c r="F518" s="35"/>
      <c r="G518" s="35"/>
      <c r="H518" s="35" t="s">
        <v>25</v>
      </c>
    </row>
    <row r="519" spans="1:8" ht="13.5" customHeight="1" x14ac:dyDescent="0.25">
      <c r="A519" s="35" t="s">
        <v>53</v>
      </c>
      <c r="B519" s="35" t="s">
        <v>54</v>
      </c>
      <c r="C519" s="35" t="s">
        <v>39</v>
      </c>
      <c r="D519" s="36">
        <v>46249</v>
      </c>
      <c r="E519" s="12">
        <v>119400</v>
      </c>
      <c r="F519" s="35" t="s">
        <v>12</v>
      </c>
      <c r="G519" s="36">
        <v>46265</v>
      </c>
      <c r="H519" s="35" t="s">
        <v>24</v>
      </c>
    </row>
    <row r="520" spans="1:8" ht="13.5" customHeight="1" x14ac:dyDescent="0.25">
      <c r="A520" s="35" t="s">
        <v>4</v>
      </c>
      <c r="B520" s="35" t="s">
        <v>52</v>
      </c>
      <c r="C520" s="35" t="s">
        <v>39</v>
      </c>
      <c r="D520" s="36">
        <v>46249</v>
      </c>
      <c r="E520" s="12">
        <f>1083167*1.25</f>
        <v>1353958.75</v>
      </c>
      <c r="F520" s="35"/>
      <c r="G520" s="35"/>
      <c r="H520" s="35"/>
    </row>
    <row r="521" spans="1:8" ht="13.5" customHeight="1" x14ac:dyDescent="0.25">
      <c r="A521" s="35" t="s">
        <v>5</v>
      </c>
      <c r="B521" s="35" t="s">
        <v>52</v>
      </c>
      <c r="C521" s="35" t="s">
        <v>39</v>
      </c>
      <c r="D521" s="36">
        <v>46249</v>
      </c>
      <c r="E521" s="12">
        <f>1083167*1.25</f>
        <v>1353958.75</v>
      </c>
      <c r="F521" s="35"/>
      <c r="G521" s="35"/>
      <c r="H521" s="35"/>
    </row>
    <row r="522" spans="1:8" ht="13.5" customHeight="1" x14ac:dyDescent="0.25">
      <c r="A522" s="35" t="s">
        <v>51</v>
      </c>
      <c r="B522" s="35" t="s">
        <v>52</v>
      </c>
      <c r="C522" s="35" t="s">
        <v>39</v>
      </c>
      <c r="D522" s="36">
        <v>46249</v>
      </c>
      <c r="E522" s="12">
        <v>210000</v>
      </c>
      <c r="F522" s="35"/>
      <c r="G522" s="35"/>
      <c r="H522" s="35"/>
    </row>
    <row r="523" spans="1:8" ht="13.5" customHeight="1" x14ac:dyDescent="0.25">
      <c r="A523" s="35" t="s">
        <v>108</v>
      </c>
      <c r="B523" s="35" t="s">
        <v>52</v>
      </c>
      <c r="C523" s="35" t="s">
        <v>39</v>
      </c>
      <c r="D523" s="36">
        <v>46249</v>
      </c>
      <c r="E523" s="12">
        <v>210000</v>
      </c>
      <c r="F523" s="35"/>
      <c r="G523" s="35"/>
      <c r="H523" s="35"/>
    </row>
    <row r="524" spans="1:8" ht="13.5" customHeight="1" x14ac:dyDescent="0.25">
      <c r="A524" s="35" t="s">
        <v>136</v>
      </c>
      <c r="B524" s="35" t="s">
        <v>154</v>
      </c>
      <c r="C524" s="35" t="s">
        <v>39</v>
      </c>
      <c r="D524" s="36">
        <v>46249</v>
      </c>
      <c r="E524" s="12">
        <v>500000</v>
      </c>
      <c r="F524" s="35"/>
      <c r="G524" s="35"/>
      <c r="H524" s="35" t="s">
        <v>137</v>
      </c>
    </row>
    <row r="525" spans="1:8" ht="13.5" customHeight="1" x14ac:dyDescent="0.25">
      <c r="A525" s="35" t="s">
        <v>32</v>
      </c>
      <c r="B525" s="35" t="s">
        <v>33</v>
      </c>
      <c r="C525" s="35" t="s">
        <v>354</v>
      </c>
      <c r="D525" s="36">
        <v>46250</v>
      </c>
      <c r="E525" s="12">
        <v>1685630</v>
      </c>
      <c r="F525" s="35"/>
      <c r="G525" s="35"/>
      <c r="H525" s="35" t="s">
        <v>25</v>
      </c>
    </row>
    <row r="526" spans="1:8" ht="13.5" customHeight="1" x14ac:dyDescent="0.25">
      <c r="A526" s="35" t="s">
        <v>32</v>
      </c>
      <c r="B526" s="35" t="s">
        <v>33</v>
      </c>
      <c r="C526" s="35" t="s">
        <v>355</v>
      </c>
      <c r="D526" s="36">
        <v>46251</v>
      </c>
      <c r="E526" s="12">
        <v>618160</v>
      </c>
      <c r="F526" s="35"/>
      <c r="G526" s="35"/>
      <c r="H526" s="35" t="s">
        <v>25</v>
      </c>
    </row>
    <row r="527" spans="1:8" ht="13.5" customHeight="1" x14ac:dyDescent="0.25">
      <c r="A527" s="35" t="s">
        <v>32</v>
      </c>
      <c r="B527" s="35" t="s">
        <v>33</v>
      </c>
      <c r="C527" s="35" t="s">
        <v>293</v>
      </c>
      <c r="D527" s="36">
        <v>46256</v>
      </c>
      <c r="E527" s="12">
        <v>828060</v>
      </c>
      <c r="F527" s="35"/>
      <c r="G527" s="35"/>
      <c r="H527" s="35" t="s">
        <v>25</v>
      </c>
    </row>
    <row r="528" spans="1:8" ht="13.5" customHeight="1" x14ac:dyDescent="0.25">
      <c r="A528" s="35" t="s">
        <v>32</v>
      </c>
      <c r="B528" s="35" t="s">
        <v>33</v>
      </c>
      <c r="C528" s="35" t="s">
        <v>312</v>
      </c>
      <c r="D528" s="36">
        <v>46258</v>
      </c>
      <c r="E528" s="12">
        <v>559500</v>
      </c>
      <c r="F528" s="35"/>
      <c r="G528" s="35"/>
      <c r="H528" s="35" t="s">
        <v>25</v>
      </c>
    </row>
    <row r="529" spans="1:8" ht="13.5" customHeight="1" x14ac:dyDescent="0.25">
      <c r="A529" s="35" t="s">
        <v>32</v>
      </c>
      <c r="B529" s="35" t="s">
        <v>33</v>
      </c>
      <c r="C529" s="35" t="s">
        <v>313</v>
      </c>
      <c r="D529" s="36">
        <v>46260</v>
      </c>
      <c r="E529" s="12">
        <v>998370</v>
      </c>
      <c r="F529" s="35"/>
      <c r="G529" s="35"/>
      <c r="H529" s="35" t="s">
        <v>25</v>
      </c>
    </row>
    <row r="530" spans="1:8" ht="13.5" customHeight="1" x14ac:dyDescent="0.25">
      <c r="A530" s="35" t="s">
        <v>32</v>
      </c>
      <c r="B530" s="35" t="s">
        <v>33</v>
      </c>
      <c r="C530" s="35" t="s">
        <v>314</v>
      </c>
      <c r="D530" s="36">
        <v>46261</v>
      </c>
      <c r="E530" s="12">
        <v>631000</v>
      </c>
      <c r="F530" s="35"/>
      <c r="G530" s="35"/>
      <c r="H530" s="35" t="s">
        <v>25</v>
      </c>
    </row>
    <row r="531" spans="1:8" ht="13.5" customHeight="1" x14ac:dyDescent="0.25">
      <c r="A531" s="35" t="s">
        <v>47</v>
      </c>
      <c r="B531" s="35" t="s">
        <v>33</v>
      </c>
      <c r="C531" s="35">
        <v>447378</v>
      </c>
      <c r="D531" s="36">
        <v>46261</v>
      </c>
      <c r="E531" s="12">
        <v>775535</v>
      </c>
      <c r="F531" s="35" t="s">
        <v>12</v>
      </c>
      <c r="G531" s="36">
        <v>46265</v>
      </c>
      <c r="H531" s="35" t="s">
        <v>25</v>
      </c>
    </row>
    <row r="532" spans="1:8" ht="13.5" customHeight="1" x14ac:dyDescent="0.25">
      <c r="A532" s="35" t="s">
        <v>47</v>
      </c>
      <c r="B532" s="35" t="s">
        <v>33</v>
      </c>
      <c r="C532" s="35">
        <v>447388</v>
      </c>
      <c r="D532" s="36">
        <v>46261</v>
      </c>
      <c r="E532" s="12">
        <v>171955</v>
      </c>
      <c r="F532" s="35" t="s">
        <v>12</v>
      </c>
      <c r="G532" s="36">
        <v>46265</v>
      </c>
      <c r="H532" s="35" t="s">
        <v>25</v>
      </c>
    </row>
    <row r="533" spans="1:8" ht="13.5" customHeight="1" x14ac:dyDescent="0.25">
      <c r="A533" s="35" t="s">
        <v>47</v>
      </c>
      <c r="B533" s="35" t="s">
        <v>33</v>
      </c>
      <c r="C533" s="35">
        <v>447410</v>
      </c>
      <c r="D533" s="36">
        <v>46261</v>
      </c>
      <c r="E533" s="12">
        <v>597280</v>
      </c>
      <c r="F533" s="35" t="s">
        <v>12</v>
      </c>
      <c r="G533" s="36">
        <v>46265</v>
      </c>
      <c r="H533" s="35" t="s">
        <v>25</v>
      </c>
    </row>
    <row r="534" spans="1:8" ht="13.5" customHeight="1" x14ac:dyDescent="0.25">
      <c r="A534" s="35" t="s">
        <v>32</v>
      </c>
      <c r="B534" s="35" t="s">
        <v>33</v>
      </c>
      <c r="C534" s="35" t="s">
        <v>315</v>
      </c>
      <c r="D534" s="36">
        <v>46262</v>
      </c>
      <c r="E534" s="12">
        <v>619650</v>
      </c>
      <c r="F534" s="35"/>
      <c r="G534" s="35"/>
      <c r="H534" s="35" t="s">
        <v>25</v>
      </c>
    </row>
    <row r="535" spans="1:8" ht="13.5" customHeight="1" x14ac:dyDescent="0.25">
      <c r="A535" s="35" t="s">
        <v>32</v>
      </c>
      <c r="B535" s="35" t="s">
        <v>33</v>
      </c>
      <c r="C535" s="35" t="s">
        <v>316</v>
      </c>
      <c r="D535" s="36">
        <v>46262</v>
      </c>
      <c r="E535" s="12">
        <v>331300</v>
      </c>
      <c r="F535" s="35"/>
      <c r="G535" s="35"/>
      <c r="H535" s="35" t="s">
        <v>25</v>
      </c>
    </row>
    <row r="536" spans="1:8" ht="13.5" customHeight="1" x14ac:dyDescent="0.25">
      <c r="A536" s="35" t="s">
        <v>4</v>
      </c>
      <c r="B536" s="35" t="s">
        <v>52</v>
      </c>
      <c r="C536" s="35" t="s">
        <v>39</v>
      </c>
      <c r="D536" s="36">
        <v>46264</v>
      </c>
      <c r="E536" s="12">
        <f>1083167*1.25</f>
        <v>1353958.75</v>
      </c>
      <c r="F536" s="35"/>
      <c r="G536" s="35"/>
      <c r="H536" s="35"/>
    </row>
    <row r="537" spans="1:8" ht="13.5" customHeight="1" x14ac:dyDescent="0.25">
      <c r="A537" s="35" t="s">
        <v>5</v>
      </c>
      <c r="B537" s="35" t="s">
        <v>52</v>
      </c>
      <c r="C537" s="35" t="s">
        <v>39</v>
      </c>
      <c r="D537" s="36">
        <v>46264</v>
      </c>
      <c r="E537" s="12">
        <f>1083167*1.25</f>
        <v>1353958.75</v>
      </c>
      <c r="F537" s="35"/>
      <c r="G537" s="35"/>
      <c r="H537" s="35"/>
    </row>
    <row r="538" spans="1:8" ht="13.5" customHeight="1" x14ac:dyDescent="0.25">
      <c r="A538" s="35" t="s">
        <v>51</v>
      </c>
      <c r="B538" s="35" t="s">
        <v>52</v>
      </c>
      <c r="C538" s="35" t="s">
        <v>39</v>
      </c>
      <c r="D538" s="36">
        <v>46264</v>
      </c>
      <c r="E538" s="12">
        <v>210000</v>
      </c>
      <c r="F538" s="35"/>
      <c r="G538" s="35"/>
      <c r="H538" s="35"/>
    </row>
    <row r="539" spans="1:8" ht="13.5" customHeight="1" x14ac:dyDescent="0.25">
      <c r="A539" s="35" t="s">
        <v>108</v>
      </c>
      <c r="B539" s="35" t="s">
        <v>52</v>
      </c>
      <c r="C539" s="35" t="s">
        <v>39</v>
      </c>
      <c r="D539" s="36">
        <v>46264</v>
      </c>
      <c r="E539" s="12">
        <v>210000</v>
      </c>
      <c r="F539" s="35"/>
      <c r="G539" s="35"/>
      <c r="H539" s="35"/>
    </row>
    <row r="540" spans="1:8" ht="13.5" customHeight="1" x14ac:dyDescent="0.25">
      <c r="A540" s="35" t="s">
        <v>136</v>
      </c>
      <c r="B540" s="35" t="s">
        <v>154</v>
      </c>
      <c r="C540" s="35" t="s">
        <v>39</v>
      </c>
      <c r="D540" s="36">
        <v>46264</v>
      </c>
      <c r="E540" s="12">
        <v>500000</v>
      </c>
      <c r="F540" s="35"/>
      <c r="G540" s="35"/>
      <c r="H540" s="35" t="s">
        <v>137</v>
      </c>
    </row>
    <row r="541" spans="1:8" ht="13.5" customHeight="1" x14ac:dyDescent="0.25">
      <c r="A541" s="35" t="s">
        <v>32</v>
      </c>
      <c r="B541" s="35" t="s">
        <v>33</v>
      </c>
      <c r="C541" s="35" t="s">
        <v>317</v>
      </c>
      <c r="D541" s="36">
        <v>46265</v>
      </c>
      <c r="E541" s="12">
        <v>1115990</v>
      </c>
      <c r="F541" s="35"/>
      <c r="G541" s="35"/>
      <c r="H541" s="35" t="s">
        <v>25</v>
      </c>
    </row>
    <row r="542" spans="1:8" ht="13.5" customHeight="1" x14ac:dyDescent="0.25">
      <c r="A542" s="35" t="s">
        <v>32</v>
      </c>
      <c r="B542" s="35" t="s">
        <v>33</v>
      </c>
      <c r="C542" s="35" t="s">
        <v>318</v>
      </c>
      <c r="D542" s="36">
        <v>46267</v>
      </c>
      <c r="E542" s="12">
        <v>578800</v>
      </c>
      <c r="F542" s="35"/>
      <c r="G542" s="35"/>
      <c r="H542" s="35" t="s">
        <v>25</v>
      </c>
    </row>
    <row r="543" spans="1:8" ht="13.5" customHeight="1" x14ac:dyDescent="0.25">
      <c r="A543" s="35" t="s">
        <v>32</v>
      </c>
      <c r="B543" s="35" t="s">
        <v>33</v>
      </c>
      <c r="C543" s="35" t="s">
        <v>319</v>
      </c>
      <c r="D543" s="36">
        <v>46268</v>
      </c>
      <c r="E543" s="12">
        <v>1170200</v>
      </c>
      <c r="F543" s="35"/>
      <c r="G543" s="35"/>
      <c r="H543" s="35" t="s">
        <v>25</v>
      </c>
    </row>
    <row r="544" spans="1:8" ht="13.5" customHeight="1" x14ac:dyDescent="0.25">
      <c r="A544" s="35" t="s">
        <v>58</v>
      </c>
      <c r="B544" s="35" t="s">
        <v>59</v>
      </c>
      <c r="C544" s="35" t="s">
        <v>40</v>
      </c>
      <c r="D544" s="36">
        <v>46270</v>
      </c>
      <c r="E544" s="12">
        <v>3000000</v>
      </c>
      <c r="F544" s="35" t="s">
        <v>12</v>
      </c>
      <c r="G544" s="36">
        <v>46270</v>
      </c>
      <c r="H544" s="35" t="s">
        <v>24</v>
      </c>
    </row>
    <row r="545" spans="1:8" ht="13.5" customHeight="1" x14ac:dyDescent="0.25">
      <c r="A545" s="35" t="s">
        <v>47</v>
      </c>
      <c r="B545" s="35" t="s">
        <v>33</v>
      </c>
      <c r="C545" s="35">
        <v>451071</v>
      </c>
      <c r="D545" s="36">
        <v>46270</v>
      </c>
      <c r="E545" s="12">
        <v>183824</v>
      </c>
      <c r="F545" s="35"/>
      <c r="G545" s="35"/>
      <c r="H545" s="35" t="s">
        <v>25</v>
      </c>
    </row>
    <row r="546" spans="1:8" ht="13.5" customHeight="1" x14ac:dyDescent="0.25">
      <c r="A546" s="35" t="s">
        <v>47</v>
      </c>
      <c r="B546" s="35" t="s">
        <v>33</v>
      </c>
      <c r="C546" s="35">
        <v>451167</v>
      </c>
      <c r="D546" s="36">
        <v>46270</v>
      </c>
      <c r="E546" s="31">
        <f>93207*0.88</f>
        <v>82022.16</v>
      </c>
      <c r="F546" s="35"/>
      <c r="G546" s="35"/>
      <c r="H546" s="35" t="s">
        <v>25</v>
      </c>
    </row>
    <row r="547" spans="1:8" ht="13.5" customHeight="1" x14ac:dyDescent="0.25">
      <c r="A547" s="35" t="s">
        <v>47</v>
      </c>
      <c r="B547" s="35" t="s">
        <v>33</v>
      </c>
      <c r="C547" s="35">
        <v>451074</v>
      </c>
      <c r="D547" s="36">
        <v>46270</v>
      </c>
      <c r="E547" s="31">
        <f>258575*0.88</f>
        <v>227546</v>
      </c>
      <c r="F547" s="35"/>
      <c r="G547" s="35"/>
      <c r="H547" s="35" t="s">
        <v>25</v>
      </c>
    </row>
    <row r="548" spans="1:8" ht="13.5" customHeight="1" x14ac:dyDescent="0.25">
      <c r="A548" s="35" t="s">
        <v>32</v>
      </c>
      <c r="B548" s="35" t="s">
        <v>33</v>
      </c>
      <c r="C548" s="35" t="s">
        <v>320</v>
      </c>
      <c r="D548" s="36">
        <v>46272</v>
      </c>
      <c r="E548" s="12">
        <v>891300</v>
      </c>
      <c r="F548" s="35"/>
      <c r="G548" s="35"/>
      <c r="H548" s="35" t="s">
        <v>25</v>
      </c>
    </row>
    <row r="549" spans="1:8" ht="13.5" customHeight="1" x14ac:dyDescent="0.25">
      <c r="A549" s="35" t="s">
        <v>32</v>
      </c>
      <c r="B549" s="35" t="s">
        <v>33</v>
      </c>
      <c r="C549" s="35" t="s">
        <v>321</v>
      </c>
      <c r="D549" s="36">
        <v>46274</v>
      </c>
      <c r="E549" s="12">
        <v>1136490</v>
      </c>
      <c r="F549" s="35"/>
      <c r="G549" s="35"/>
      <c r="H549" s="35" t="s">
        <v>25</v>
      </c>
    </row>
    <row r="550" spans="1:8" ht="13.5" customHeight="1" x14ac:dyDescent="0.25">
      <c r="A550" s="35" t="s">
        <v>48</v>
      </c>
      <c r="B550" s="35" t="s">
        <v>49</v>
      </c>
      <c r="C550" s="35" t="s">
        <v>40</v>
      </c>
      <c r="D550" s="36">
        <v>46274</v>
      </c>
      <c r="E550" s="12">
        <v>2499370</v>
      </c>
      <c r="F550" s="35"/>
      <c r="G550" s="35"/>
      <c r="H550" s="35" t="s">
        <v>24</v>
      </c>
    </row>
    <row r="551" spans="1:8" ht="13.5" customHeight="1" x14ac:dyDescent="0.25">
      <c r="A551" s="35" t="s">
        <v>47</v>
      </c>
      <c r="B551" s="35" t="s">
        <v>33</v>
      </c>
      <c r="C551" s="35">
        <v>446942</v>
      </c>
      <c r="D551" s="36">
        <v>46275</v>
      </c>
      <c r="E551" s="31">
        <v>597212</v>
      </c>
      <c r="F551" s="35"/>
      <c r="G551" s="35"/>
      <c r="H551" s="35" t="s">
        <v>25</v>
      </c>
    </row>
    <row r="552" spans="1:8" ht="13.5" customHeight="1" x14ac:dyDescent="0.25">
      <c r="A552" s="35" t="s">
        <v>47</v>
      </c>
      <c r="B552" s="35" t="s">
        <v>33</v>
      </c>
      <c r="C552" s="35">
        <v>446945</v>
      </c>
      <c r="D552" s="36">
        <v>46275</v>
      </c>
      <c r="E552" s="12">
        <v>171955</v>
      </c>
      <c r="F552" s="35"/>
      <c r="G552" s="35"/>
      <c r="H552" s="35" t="s">
        <v>25</v>
      </c>
    </row>
    <row r="553" spans="1:8" ht="13.5" customHeight="1" x14ac:dyDescent="0.25">
      <c r="A553" s="35" t="s">
        <v>47</v>
      </c>
      <c r="B553" s="35" t="s">
        <v>298</v>
      </c>
      <c r="C553" s="35">
        <v>446844</v>
      </c>
      <c r="D553" s="36">
        <v>46275</v>
      </c>
      <c r="E553" s="31">
        <v>775532</v>
      </c>
      <c r="F553" s="35"/>
      <c r="G553" s="35"/>
      <c r="H553" s="35" t="s">
        <v>25</v>
      </c>
    </row>
    <row r="554" spans="1:8" ht="13.5" customHeight="1" x14ac:dyDescent="0.25">
      <c r="A554" s="35" t="s">
        <v>45</v>
      </c>
      <c r="B554" s="35" t="s">
        <v>46</v>
      </c>
      <c r="C554" s="35" t="s">
        <v>40</v>
      </c>
      <c r="D554" s="36">
        <v>46275</v>
      </c>
      <c r="E554" s="12">
        <v>100000</v>
      </c>
      <c r="F554" s="35"/>
      <c r="G554" s="35"/>
      <c r="H554" s="35"/>
    </row>
    <row r="555" spans="1:8" ht="13.5" customHeight="1" x14ac:dyDescent="0.25">
      <c r="A555" s="35" t="s">
        <v>32</v>
      </c>
      <c r="B555" s="35" t="s">
        <v>185</v>
      </c>
      <c r="C555" s="35" t="s">
        <v>358</v>
      </c>
      <c r="D555" s="36">
        <v>46276</v>
      </c>
      <c r="E555" s="12">
        <v>1241580</v>
      </c>
      <c r="F555" s="35"/>
      <c r="G555" s="35"/>
      <c r="H555" s="35" t="s">
        <v>25</v>
      </c>
    </row>
    <row r="556" spans="1:8" ht="13.5" customHeight="1" x14ac:dyDescent="0.25">
      <c r="A556" s="35" t="s">
        <v>32</v>
      </c>
      <c r="B556" s="35" t="s">
        <v>33</v>
      </c>
      <c r="C556" s="35" t="s">
        <v>364</v>
      </c>
      <c r="D556" s="36">
        <v>46279</v>
      </c>
      <c r="E556" s="12">
        <v>912780</v>
      </c>
      <c r="F556" s="35"/>
      <c r="G556" s="35"/>
      <c r="H556" s="35" t="s">
        <v>25</v>
      </c>
    </row>
    <row r="557" spans="1:8" ht="13.5" customHeight="1" x14ac:dyDescent="0.25">
      <c r="A557" s="35" t="s">
        <v>44</v>
      </c>
      <c r="B557" s="35">
        <v>894509</v>
      </c>
      <c r="C557" s="35" t="s">
        <v>40</v>
      </c>
      <c r="D557" s="36">
        <v>46277</v>
      </c>
      <c r="E557" s="12">
        <v>302062</v>
      </c>
      <c r="F557" s="35"/>
      <c r="G557" s="35"/>
      <c r="H557" s="35" t="s">
        <v>137</v>
      </c>
    </row>
    <row r="558" spans="1:8" ht="13.5" customHeight="1" x14ac:dyDescent="0.25">
      <c r="A558" s="35" t="s">
        <v>57</v>
      </c>
      <c r="B558" s="35" t="s">
        <v>33</v>
      </c>
      <c r="C558" s="35">
        <v>494720</v>
      </c>
      <c r="D558" s="36">
        <v>46280</v>
      </c>
      <c r="E558" s="12">
        <v>2337598</v>
      </c>
      <c r="F558" s="35"/>
      <c r="G558" s="36"/>
      <c r="H558" s="35"/>
    </row>
    <row r="559" spans="1:8" ht="13.5" customHeight="1" x14ac:dyDescent="0.25">
      <c r="A559" s="35" t="s">
        <v>53</v>
      </c>
      <c r="B559" s="35" t="s">
        <v>54</v>
      </c>
      <c r="C559" s="35" t="s">
        <v>40</v>
      </c>
      <c r="D559" s="36">
        <v>46280</v>
      </c>
      <c r="E559" s="12">
        <v>119400</v>
      </c>
      <c r="F559" s="35"/>
      <c r="G559" s="35"/>
      <c r="H559" s="35"/>
    </row>
    <row r="560" spans="1:8" ht="13.5" customHeight="1" x14ac:dyDescent="0.25">
      <c r="A560" s="35" t="s">
        <v>4</v>
      </c>
      <c r="B560" s="35" t="s">
        <v>52</v>
      </c>
      <c r="C560" s="35" t="s">
        <v>40</v>
      </c>
      <c r="D560" s="36">
        <v>46280</v>
      </c>
      <c r="E560" s="12">
        <f>1083167*1.25</f>
        <v>1353958.75</v>
      </c>
      <c r="F560" s="35"/>
      <c r="G560" s="35"/>
      <c r="H560" s="35"/>
    </row>
    <row r="561" spans="1:8" ht="13.5" customHeight="1" x14ac:dyDescent="0.25">
      <c r="A561" s="35" t="s">
        <v>5</v>
      </c>
      <c r="B561" s="35" t="s">
        <v>52</v>
      </c>
      <c r="C561" s="35" t="s">
        <v>40</v>
      </c>
      <c r="D561" s="36">
        <v>46280</v>
      </c>
      <c r="E561" s="12">
        <f>1083167*1.25</f>
        <v>1353958.75</v>
      </c>
      <c r="F561" s="35"/>
      <c r="G561" s="35"/>
      <c r="H561" s="35"/>
    </row>
    <row r="562" spans="1:8" ht="13.5" customHeight="1" x14ac:dyDescent="0.25">
      <c r="A562" s="35" t="s">
        <v>51</v>
      </c>
      <c r="B562" s="35" t="s">
        <v>52</v>
      </c>
      <c r="C562" s="35" t="s">
        <v>40</v>
      </c>
      <c r="D562" s="36">
        <v>46280</v>
      </c>
      <c r="E562" s="12">
        <v>210000</v>
      </c>
      <c r="F562" s="35"/>
      <c r="G562" s="35"/>
      <c r="H562" s="35"/>
    </row>
    <row r="563" spans="1:8" ht="13.5" customHeight="1" x14ac:dyDescent="0.25">
      <c r="A563" s="35" t="s">
        <v>108</v>
      </c>
      <c r="B563" s="35" t="s">
        <v>52</v>
      </c>
      <c r="C563" s="35" t="s">
        <v>40</v>
      </c>
      <c r="D563" s="36">
        <v>46280</v>
      </c>
      <c r="E563" s="12">
        <v>210000</v>
      </c>
      <c r="F563" s="35"/>
      <c r="G563" s="35"/>
      <c r="H563" s="35"/>
    </row>
    <row r="564" spans="1:8" ht="13.5" customHeight="1" x14ac:dyDescent="0.25">
      <c r="A564" s="35" t="s">
        <v>136</v>
      </c>
      <c r="B564" s="35" t="s">
        <v>154</v>
      </c>
      <c r="C564" s="35" t="s">
        <v>40</v>
      </c>
      <c r="D564" s="36">
        <v>46280</v>
      </c>
      <c r="E564" s="12">
        <v>500000</v>
      </c>
      <c r="F564" s="35"/>
      <c r="G564" s="35"/>
      <c r="H564" s="35" t="s">
        <v>137</v>
      </c>
    </row>
    <row r="565" spans="1:8" ht="13.5" customHeight="1" x14ac:dyDescent="0.25">
      <c r="A565" s="35" t="s">
        <v>32</v>
      </c>
      <c r="B565" s="35" t="s">
        <v>33</v>
      </c>
      <c r="C565" s="35" t="s">
        <v>365</v>
      </c>
      <c r="D565" s="36">
        <v>46282</v>
      </c>
      <c r="E565" s="12">
        <v>1501460</v>
      </c>
      <c r="F565" s="35"/>
      <c r="G565" s="35"/>
      <c r="H565" s="35" t="s">
        <v>25</v>
      </c>
    </row>
    <row r="566" spans="1:8" ht="13.5" customHeight="1" x14ac:dyDescent="0.25">
      <c r="A566" s="35" t="s">
        <v>32</v>
      </c>
      <c r="B566" s="35" t="s">
        <v>33</v>
      </c>
      <c r="C566" s="35" t="s">
        <v>366</v>
      </c>
      <c r="D566" s="36">
        <v>46285</v>
      </c>
      <c r="E566" s="12">
        <v>1009580</v>
      </c>
      <c r="F566" s="35"/>
      <c r="G566" s="35"/>
      <c r="H566" s="35" t="s">
        <v>25</v>
      </c>
    </row>
    <row r="567" spans="1:8" ht="13.5" customHeight="1" x14ac:dyDescent="0.25">
      <c r="A567" s="35" t="s">
        <v>32</v>
      </c>
      <c r="B567" s="35" t="s">
        <v>33</v>
      </c>
      <c r="C567" s="35" t="s">
        <v>367</v>
      </c>
      <c r="D567" s="36">
        <v>46288</v>
      </c>
      <c r="E567" s="12">
        <v>1255000</v>
      </c>
      <c r="F567" s="35"/>
      <c r="G567" s="35"/>
      <c r="H567" s="35" t="s">
        <v>25</v>
      </c>
    </row>
    <row r="568" spans="1:8" ht="13.5" customHeight="1" x14ac:dyDescent="0.25">
      <c r="A568" s="35" t="s">
        <v>47</v>
      </c>
      <c r="B568" s="35" t="s">
        <v>33</v>
      </c>
      <c r="C568" s="35">
        <v>458210</v>
      </c>
      <c r="D568" s="36">
        <v>46289</v>
      </c>
      <c r="E568" s="31">
        <v>190793</v>
      </c>
      <c r="F568" s="35"/>
      <c r="G568" s="35"/>
      <c r="H568" s="35" t="s">
        <v>25</v>
      </c>
    </row>
    <row r="569" spans="1:8" ht="13.5" customHeight="1" x14ac:dyDescent="0.25">
      <c r="A569" s="35" t="s">
        <v>47</v>
      </c>
      <c r="B569" s="35" t="s">
        <v>33</v>
      </c>
      <c r="C569" s="35">
        <v>458226</v>
      </c>
      <c r="D569" s="36">
        <v>46289</v>
      </c>
      <c r="E569" s="12">
        <v>224122</v>
      </c>
      <c r="F569" s="35"/>
      <c r="G569" s="35"/>
      <c r="H569" s="35" t="s">
        <v>25</v>
      </c>
    </row>
    <row r="570" spans="1:8" ht="13.5" customHeight="1" x14ac:dyDescent="0.25">
      <c r="A570" s="35" t="s">
        <v>32</v>
      </c>
      <c r="B570" s="35" t="s">
        <v>33</v>
      </c>
      <c r="C570" s="102" t="s">
        <v>375</v>
      </c>
      <c r="D570" s="36">
        <v>46292</v>
      </c>
      <c r="E570" s="12">
        <v>1163150</v>
      </c>
      <c r="F570" s="35"/>
      <c r="G570" s="35"/>
      <c r="H570" s="35" t="s">
        <v>25</v>
      </c>
    </row>
    <row r="571" spans="1:8" ht="13.5" customHeight="1" x14ac:dyDescent="0.25">
      <c r="A571" s="35" t="s">
        <v>47</v>
      </c>
      <c r="B571" s="35" t="s">
        <v>33</v>
      </c>
      <c r="C571" s="35">
        <v>459544</v>
      </c>
      <c r="D571" s="36">
        <v>46292</v>
      </c>
      <c r="E571" s="31">
        <v>2326690</v>
      </c>
      <c r="F571" s="35"/>
      <c r="G571" s="35"/>
      <c r="H571" s="35" t="s">
        <v>25</v>
      </c>
    </row>
    <row r="572" spans="1:8" ht="13.5" customHeight="1" x14ac:dyDescent="0.25">
      <c r="A572" s="35" t="s">
        <v>32</v>
      </c>
      <c r="B572" s="35" t="s">
        <v>33</v>
      </c>
      <c r="C572" s="35" t="s">
        <v>373</v>
      </c>
      <c r="D572" s="36">
        <v>46294</v>
      </c>
      <c r="E572" s="12">
        <v>440200</v>
      </c>
      <c r="F572" s="35"/>
      <c r="G572" s="35"/>
      <c r="H572" s="35" t="s">
        <v>25</v>
      </c>
    </row>
    <row r="573" spans="1:8" ht="13.5" customHeight="1" x14ac:dyDescent="0.25">
      <c r="A573" s="35" t="s">
        <v>4</v>
      </c>
      <c r="B573" s="35" t="s">
        <v>52</v>
      </c>
      <c r="C573" s="35" t="s">
        <v>40</v>
      </c>
      <c r="D573" s="36">
        <v>46295</v>
      </c>
      <c r="E573" s="12">
        <f>1083167*1.25</f>
        <v>1353958.75</v>
      </c>
      <c r="F573" s="35"/>
      <c r="G573" s="35"/>
      <c r="H573" s="35"/>
    </row>
    <row r="574" spans="1:8" ht="13.5" customHeight="1" x14ac:dyDescent="0.25">
      <c r="A574" s="35" t="s">
        <v>5</v>
      </c>
      <c r="B574" s="35" t="s">
        <v>52</v>
      </c>
      <c r="C574" s="35" t="s">
        <v>40</v>
      </c>
      <c r="D574" s="36">
        <v>46295</v>
      </c>
      <c r="E574" s="12">
        <f>1083167*1.25</f>
        <v>1353958.75</v>
      </c>
      <c r="F574" s="35"/>
      <c r="G574" s="35"/>
      <c r="H574" s="35"/>
    </row>
    <row r="575" spans="1:8" ht="13.5" customHeight="1" x14ac:dyDescent="0.25">
      <c r="A575" s="35" t="s">
        <v>51</v>
      </c>
      <c r="B575" s="35" t="s">
        <v>52</v>
      </c>
      <c r="C575" s="35" t="s">
        <v>40</v>
      </c>
      <c r="D575" s="36">
        <v>46295</v>
      </c>
      <c r="E575" s="12">
        <v>210000</v>
      </c>
      <c r="F575" s="35"/>
      <c r="G575" s="35"/>
      <c r="H575" s="35"/>
    </row>
    <row r="576" spans="1:8" ht="13.5" customHeight="1" x14ac:dyDescent="0.25">
      <c r="A576" s="35" t="s">
        <v>108</v>
      </c>
      <c r="B576" s="35" t="s">
        <v>52</v>
      </c>
      <c r="C576" s="35" t="s">
        <v>40</v>
      </c>
      <c r="D576" s="36">
        <v>46295</v>
      </c>
      <c r="E576" s="12">
        <v>210000</v>
      </c>
      <c r="F576" s="35"/>
      <c r="G576" s="35"/>
      <c r="H576" s="35"/>
    </row>
    <row r="577" spans="1:8" ht="13.5" customHeight="1" x14ac:dyDescent="0.25">
      <c r="A577" s="35" t="s">
        <v>136</v>
      </c>
      <c r="B577" s="35" t="s">
        <v>154</v>
      </c>
      <c r="C577" s="35" t="s">
        <v>40</v>
      </c>
      <c r="D577" s="36">
        <v>46295</v>
      </c>
      <c r="E577" s="12">
        <v>500000</v>
      </c>
      <c r="F577" s="35"/>
      <c r="G577" s="35"/>
      <c r="H577" s="35" t="s">
        <v>137</v>
      </c>
    </row>
    <row r="578" spans="1:8" ht="13.5" customHeight="1" x14ac:dyDescent="0.25">
      <c r="A578" s="35" t="s">
        <v>32</v>
      </c>
      <c r="B578" s="35" t="s">
        <v>33</v>
      </c>
      <c r="C578" s="35" t="s">
        <v>376</v>
      </c>
      <c r="D578" s="36">
        <v>46297</v>
      </c>
      <c r="E578" s="12">
        <v>614099</v>
      </c>
      <c r="F578" s="35"/>
      <c r="G578" s="35"/>
      <c r="H578" s="35" t="s">
        <v>25</v>
      </c>
    </row>
    <row r="579" spans="1:8" ht="13.5" customHeight="1" x14ac:dyDescent="0.25">
      <c r="A579" s="35" t="s">
        <v>32</v>
      </c>
      <c r="B579" s="35" t="s">
        <v>33</v>
      </c>
      <c r="C579" s="35" t="s">
        <v>377</v>
      </c>
      <c r="D579" s="36">
        <v>46299</v>
      </c>
      <c r="E579" s="12">
        <v>745670</v>
      </c>
      <c r="F579" s="35"/>
      <c r="G579" s="35"/>
      <c r="H579" s="35" t="s">
        <v>25</v>
      </c>
    </row>
    <row r="580" spans="1:8" ht="13.5" customHeight="1" x14ac:dyDescent="0.25">
      <c r="A580" s="35" t="s">
        <v>58</v>
      </c>
      <c r="B580" s="35" t="s">
        <v>59</v>
      </c>
      <c r="C580" s="35" t="s">
        <v>43</v>
      </c>
      <c r="D580" s="36">
        <v>46300</v>
      </c>
      <c r="E580" s="12">
        <v>3000000</v>
      </c>
      <c r="F580" s="35"/>
      <c r="G580" s="35"/>
      <c r="H580" s="35" t="s">
        <v>24</v>
      </c>
    </row>
    <row r="581" spans="1:8" ht="13.5" customHeight="1" x14ac:dyDescent="0.25">
      <c r="A581" s="35" t="s">
        <v>45</v>
      </c>
      <c r="B581" s="35" t="s">
        <v>46</v>
      </c>
      <c r="C581" s="35" t="s">
        <v>43</v>
      </c>
      <c r="D581" s="36">
        <v>46305</v>
      </c>
      <c r="E581" s="12">
        <v>100000</v>
      </c>
      <c r="F581" s="35"/>
      <c r="G581" s="35"/>
      <c r="H581" s="35"/>
    </row>
    <row r="582" spans="1:8" ht="13.5" customHeight="1" x14ac:dyDescent="0.25">
      <c r="A582" s="35" t="s">
        <v>48</v>
      </c>
      <c r="B582" s="35" t="s">
        <v>49</v>
      </c>
      <c r="C582" s="35" t="s">
        <v>43</v>
      </c>
      <c r="D582" s="36">
        <v>46306</v>
      </c>
      <c r="E582" s="12">
        <v>2603890</v>
      </c>
      <c r="F582" s="35"/>
      <c r="G582" s="35"/>
      <c r="H582" s="35" t="s">
        <v>24</v>
      </c>
    </row>
    <row r="583" spans="1:8" ht="13.5" customHeight="1" x14ac:dyDescent="0.25">
      <c r="A583" s="35" t="s">
        <v>44</v>
      </c>
      <c r="B583" s="35">
        <v>894509</v>
      </c>
      <c r="C583" s="35" t="s">
        <v>43</v>
      </c>
      <c r="D583" s="36">
        <v>46309</v>
      </c>
      <c r="E583" s="12">
        <v>370000</v>
      </c>
      <c r="F583" s="35"/>
      <c r="G583" s="35"/>
      <c r="H583" s="35" t="s">
        <v>137</v>
      </c>
    </row>
    <row r="584" spans="1:8" ht="13.5" customHeight="1" x14ac:dyDescent="0.25">
      <c r="A584" s="35" t="s">
        <v>53</v>
      </c>
      <c r="B584" s="35" t="s">
        <v>54</v>
      </c>
      <c r="C584" s="35" t="s">
        <v>43</v>
      </c>
      <c r="D584" s="36">
        <v>46310</v>
      </c>
      <c r="E584" s="12">
        <v>119400</v>
      </c>
      <c r="F584" s="35"/>
      <c r="G584" s="35"/>
      <c r="H584" s="35"/>
    </row>
    <row r="585" spans="1:8" ht="13.5" customHeight="1" x14ac:dyDescent="0.25">
      <c r="A585" s="35" t="s">
        <v>4</v>
      </c>
      <c r="B585" s="35" t="s">
        <v>52</v>
      </c>
      <c r="C585" s="35" t="s">
        <v>43</v>
      </c>
      <c r="D585" s="36">
        <v>46310</v>
      </c>
      <c r="E585" s="12">
        <f>1083167*1.25</f>
        <v>1353958.75</v>
      </c>
      <c r="F585" s="35"/>
      <c r="G585" s="35"/>
      <c r="H585" s="35"/>
    </row>
    <row r="586" spans="1:8" ht="13.5" customHeight="1" x14ac:dyDescent="0.25">
      <c r="A586" s="35" t="s">
        <v>5</v>
      </c>
      <c r="B586" s="35" t="s">
        <v>52</v>
      </c>
      <c r="C586" s="35" t="s">
        <v>43</v>
      </c>
      <c r="D586" s="36">
        <v>46310</v>
      </c>
      <c r="E586" s="12">
        <f>1083167*1.25</f>
        <v>1353958.75</v>
      </c>
      <c r="F586" s="35"/>
      <c r="G586" s="35"/>
      <c r="H586" s="35"/>
    </row>
    <row r="587" spans="1:8" ht="13.5" customHeight="1" x14ac:dyDescent="0.25">
      <c r="A587" s="35" t="s">
        <v>51</v>
      </c>
      <c r="B587" s="35" t="s">
        <v>52</v>
      </c>
      <c r="C587" s="35" t="s">
        <v>43</v>
      </c>
      <c r="D587" s="36">
        <v>46310</v>
      </c>
      <c r="E587" s="12">
        <v>210000</v>
      </c>
      <c r="F587" s="35"/>
      <c r="G587" s="35"/>
      <c r="H587" s="35"/>
    </row>
    <row r="588" spans="1:8" ht="13.5" customHeight="1" x14ac:dyDescent="0.25">
      <c r="A588" s="35" t="s">
        <v>108</v>
      </c>
      <c r="B588" s="35" t="s">
        <v>52</v>
      </c>
      <c r="C588" s="35" t="s">
        <v>43</v>
      </c>
      <c r="D588" s="36">
        <v>46310</v>
      </c>
      <c r="E588" s="12">
        <v>210000</v>
      </c>
      <c r="F588" s="35"/>
      <c r="G588" s="35"/>
      <c r="H588" s="35"/>
    </row>
    <row r="589" spans="1:8" ht="13.5" customHeight="1" x14ac:dyDescent="0.25">
      <c r="A589" s="35" t="s">
        <v>136</v>
      </c>
      <c r="B589" s="35" t="s">
        <v>154</v>
      </c>
      <c r="C589" s="35" t="s">
        <v>43</v>
      </c>
      <c r="D589" s="36">
        <v>46310</v>
      </c>
      <c r="E589" s="12">
        <v>500000</v>
      </c>
      <c r="F589" s="35"/>
      <c r="G589" s="35"/>
      <c r="H589" s="35" t="s">
        <v>137</v>
      </c>
    </row>
    <row r="590" spans="1:8" ht="13.5" customHeight="1" x14ac:dyDescent="0.25">
      <c r="A590" s="35" t="s">
        <v>4</v>
      </c>
      <c r="B590" s="35" t="s">
        <v>52</v>
      </c>
      <c r="C590" s="35" t="s">
        <v>43</v>
      </c>
      <c r="D590" s="36">
        <v>46325</v>
      </c>
      <c r="E590" s="12">
        <f>1083167*1.25</f>
        <v>1353958.75</v>
      </c>
      <c r="F590" s="35"/>
      <c r="G590" s="35"/>
      <c r="H590" s="35"/>
    </row>
    <row r="591" spans="1:8" ht="13.5" customHeight="1" x14ac:dyDescent="0.25">
      <c r="A591" s="35" t="s">
        <v>5</v>
      </c>
      <c r="B591" s="35" t="s">
        <v>52</v>
      </c>
      <c r="C591" s="35" t="s">
        <v>43</v>
      </c>
      <c r="D591" s="36">
        <v>46325</v>
      </c>
      <c r="E591" s="12">
        <f>1083167*1.25</f>
        <v>1353958.75</v>
      </c>
      <c r="F591" s="35"/>
      <c r="G591" s="35"/>
      <c r="H591" s="35"/>
    </row>
    <row r="592" spans="1:8" ht="13.5" customHeight="1" x14ac:dyDescent="0.25">
      <c r="A592" s="35" t="s">
        <v>51</v>
      </c>
      <c r="B592" s="35" t="s">
        <v>52</v>
      </c>
      <c r="C592" s="35" t="s">
        <v>43</v>
      </c>
      <c r="D592" s="36">
        <v>46325</v>
      </c>
      <c r="E592" s="12">
        <v>210000</v>
      </c>
      <c r="F592" s="35"/>
      <c r="G592" s="35"/>
      <c r="H592" s="35"/>
    </row>
    <row r="593" spans="1:8" ht="13.5" customHeight="1" x14ac:dyDescent="0.25">
      <c r="A593" s="35" t="s">
        <v>108</v>
      </c>
      <c r="B593" s="35" t="s">
        <v>52</v>
      </c>
      <c r="C593" s="35" t="s">
        <v>43</v>
      </c>
      <c r="D593" s="36">
        <v>46325</v>
      </c>
      <c r="E593" s="12">
        <v>210000</v>
      </c>
      <c r="F593" s="35"/>
      <c r="G593" s="35"/>
      <c r="H593" s="35"/>
    </row>
    <row r="594" spans="1:8" ht="13.5" customHeight="1" x14ac:dyDescent="0.25">
      <c r="A594" s="35" t="s">
        <v>136</v>
      </c>
      <c r="B594" s="35" t="s">
        <v>154</v>
      </c>
      <c r="C594" s="35" t="s">
        <v>43</v>
      </c>
      <c r="D594" s="36">
        <v>46325</v>
      </c>
      <c r="E594" s="12">
        <v>500000</v>
      </c>
      <c r="F594" s="35"/>
      <c r="G594" s="35"/>
      <c r="H594" s="35" t="s">
        <v>137</v>
      </c>
    </row>
    <row r="595" spans="1:8" ht="13.5" customHeight="1" x14ac:dyDescent="0.25">
      <c r="A595" s="35" t="s">
        <v>58</v>
      </c>
      <c r="B595" s="35" t="s">
        <v>59</v>
      </c>
      <c r="C595" s="35" t="s">
        <v>60</v>
      </c>
      <c r="D595" s="36">
        <v>46331</v>
      </c>
      <c r="E595" s="12">
        <v>3000000</v>
      </c>
      <c r="F595" s="35"/>
      <c r="G595" s="35"/>
      <c r="H595" s="35" t="s">
        <v>24</v>
      </c>
    </row>
    <row r="596" spans="1:8" ht="13.5" customHeight="1" x14ac:dyDescent="0.25">
      <c r="A596" s="35" t="s">
        <v>45</v>
      </c>
      <c r="B596" s="35" t="s">
        <v>46</v>
      </c>
      <c r="C596" s="35" t="s">
        <v>60</v>
      </c>
      <c r="D596" s="36">
        <v>46336</v>
      </c>
      <c r="E596" s="12">
        <v>100000</v>
      </c>
      <c r="F596" s="35"/>
      <c r="G596" s="35"/>
      <c r="H596" s="35"/>
    </row>
    <row r="597" spans="1:8" ht="13.5" customHeight="1" x14ac:dyDescent="0.25">
      <c r="A597" s="35" t="s">
        <v>48</v>
      </c>
      <c r="B597" s="35" t="s">
        <v>49</v>
      </c>
      <c r="C597" s="35" t="s">
        <v>60</v>
      </c>
      <c r="D597" s="36">
        <v>46337</v>
      </c>
      <c r="E597" s="12">
        <v>2603890</v>
      </c>
      <c r="F597" s="35"/>
      <c r="G597" s="35"/>
      <c r="H597" s="35" t="s">
        <v>24</v>
      </c>
    </row>
    <row r="598" spans="1:8" ht="13.5" customHeight="1" x14ac:dyDescent="0.25">
      <c r="A598" s="35" t="s">
        <v>44</v>
      </c>
      <c r="B598" s="35">
        <v>894509</v>
      </c>
      <c r="C598" s="35" t="s">
        <v>60</v>
      </c>
      <c r="D598" s="36">
        <v>46340</v>
      </c>
      <c r="E598" s="12">
        <v>370000</v>
      </c>
      <c r="F598" s="35"/>
      <c r="G598" s="35"/>
      <c r="H598" s="35" t="s">
        <v>137</v>
      </c>
    </row>
    <row r="599" spans="1:8" ht="13.5" customHeight="1" x14ac:dyDescent="0.25">
      <c r="A599" s="35" t="s">
        <v>53</v>
      </c>
      <c r="B599" s="35" t="s">
        <v>54</v>
      </c>
      <c r="C599" s="35" t="s">
        <v>60</v>
      </c>
      <c r="D599" s="36">
        <v>46341</v>
      </c>
      <c r="E599" s="12">
        <v>119400</v>
      </c>
      <c r="F599" s="35"/>
      <c r="G599" s="35"/>
      <c r="H599" s="35"/>
    </row>
    <row r="600" spans="1:8" ht="13.5" customHeight="1" x14ac:dyDescent="0.25">
      <c r="A600" s="35" t="s">
        <v>4</v>
      </c>
      <c r="B600" s="35" t="s">
        <v>52</v>
      </c>
      <c r="C600" s="35" t="s">
        <v>60</v>
      </c>
      <c r="D600" s="36">
        <v>46341</v>
      </c>
      <c r="E600" s="12">
        <f>1083167*1.25</f>
        <v>1353958.75</v>
      </c>
      <c r="F600" s="35"/>
      <c r="G600" s="35"/>
      <c r="H600" s="35"/>
    </row>
    <row r="601" spans="1:8" ht="13.5" customHeight="1" x14ac:dyDescent="0.25">
      <c r="A601" s="35" t="s">
        <v>5</v>
      </c>
      <c r="B601" s="35" t="s">
        <v>52</v>
      </c>
      <c r="C601" s="35" t="s">
        <v>60</v>
      </c>
      <c r="D601" s="36">
        <v>46341</v>
      </c>
      <c r="E601" s="12">
        <f>1083167*1.25</f>
        <v>1353958.75</v>
      </c>
      <c r="F601" s="35"/>
      <c r="G601" s="35"/>
      <c r="H601" s="35"/>
    </row>
    <row r="602" spans="1:8" ht="13.5" customHeight="1" x14ac:dyDescent="0.25">
      <c r="A602" s="35" t="s">
        <v>51</v>
      </c>
      <c r="B602" s="35" t="s">
        <v>52</v>
      </c>
      <c r="C602" s="35" t="s">
        <v>60</v>
      </c>
      <c r="D602" s="36">
        <v>46341</v>
      </c>
      <c r="E602" s="12">
        <v>210000</v>
      </c>
      <c r="F602" s="35"/>
      <c r="G602" s="35"/>
      <c r="H602" s="35"/>
    </row>
    <row r="603" spans="1:8" ht="13.5" customHeight="1" x14ac:dyDescent="0.25">
      <c r="A603" s="35" t="s">
        <v>108</v>
      </c>
      <c r="B603" s="35" t="s">
        <v>52</v>
      </c>
      <c r="C603" s="35" t="s">
        <v>60</v>
      </c>
      <c r="D603" s="36">
        <v>46341</v>
      </c>
      <c r="E603" s="12">
        <v>210000</v>
      </c>
      <c r="F603" s="35"/>
      <c r="G603" s="35"/>
      <c r="H603" s="35"/>
    </row>
    <row r="604" spans="1:8" ht="13.5" customHeight="1" x14ac:dyDescent="0.25">
      <c r="A604" s="35" t="s">
        <v>136</v>
      </c>
      <c r="B604" s="35" t="s">
        <v>154</v>
      </c>
      <c r="C604" s="35" t="s">
        <v>60</v>
      </c>
      <c r="D604" s="36">
        <v>46341</v>
      </c>
      <c r="E604" s="12">
        <v>500000</v>
      </c>
      <c r="F604" s="35"/>
      <c r="G604" s="35"/>
      <c r="H604" s="35" t="s">
        <v>137</v>
      </c>
    </row>
    <row r="605" spans="1:8" ht="13.5" customHeight="1" x14ac:dyDescent="0.25">
      <c r="A605" s="35" t="s">
        <v>4</v>
      </c>
      <c r="B605" s="35" t="s">
        <v>52</v>
      </c>
      <c r="C605" s="35" t="s">
        <v>60</v>
      </c>
      <c r="D605" s="36">
        <v>46356</v>
      </c>
      <c r="E605" s="12">
        <f>1083167*1.25</f>
        <v>1353958.75</v>
      </c>
      <c r="F605" s="35"/>
      <c r="G605" s="35"/>
      <c r="H605" s="35"/>
    </row>
    <row r="606" spans="1:8" ht="13.5" customHeight="1" x14ac:dyDescent="0.25">
      <c r="A606" s="35" t="s">
        <v>5</v>
      </c>
      <c r="B606" s="35" t="s">
        <v>52</v>
      </c>
      <c r="C606" s="35" t="s">
        <v>60</v>
      </c>
      <c r="D606" s="36">
        <v>46356</v>
      </c>
      <c r="E606" s="12">
        <f>1083167*1.25</f>
        <v>1353958.75</v>
      </c>
      <c r="F606" s="35"/>
      <c r="G606" s="35"/>
      <c r="H606" s="35"/>
    </row>
    <row r="607" spans="1:8" ht="13.5" customHeight="1" x14ac:dyDescent="0.25">
      <c r="A607" s="35" t="s">
        <v>51</v>
      </c>
      <c r="B607" s="35" t="s">
        <v>52</v>
      </c>
      <c r="C607" s="35" t="s">
        <v>60</v>
      </c>
      <c r="D607" s="36">
        <v>46356</v>
      </c>
      <c r="E607" s="12">
        <v>210000</v>
      </c>
      <c r="F607" s="35"/>
      <c r="G607" s="35"/>
      <c r="H607" s="35"/>
    </row>
    <row r="608" spans="1:8" ht="13.5" customHeight="1" x14ac:dyDescent="0.25">
      <c r="A608" s="35" t="s">
        <v>108</v>
      </c>
      <c r="B608" s="35" t="s">
        <v>52</v>
      </c>
      <c r="C608" s="35" t="s">
        <v>60</v>
      </c>
      <c r="D608" s="36">
        <v>46356</v>
      </c>
      <c r="E608" s="12">
        <v>210000</v>
      </c>
      <c r="F608" s="35"/>
      <c r="G608" s="35"/>
      <c r="H608" s="35"/>
    </row>
    <row r="609" spans="1:8" ht="13.5" customHeight="1" x14ac:dyDescent="0.25">
      <c r="A609" s="35" t="s">
        <v>136</v>
      </c>
      <c r="B609" s="35" t="s">
        <v>154</v>
      </c>
      <c r="C609" s="35" t="s">
        <v>60</v>
      </c>
      <c r="D609" s="36">
        <v>46356</v>
      </c>
      <c r="E609" s="12">
        <v>500000</v>
      </c>
      <c r="F609" s="35"/>
      <c r="G609" s="35"/>
      <c r="H609" s="35" t="s">
        <v>137</v>
      </c>
    </row>
    <row r="610" spans="1:8" x14ac:dyDescent="0.25">
      <c r="A610" s="35" t="s">
        <v>58</v>
      </c>
      <c r="B610" s="35" t="s">
        <v>59</v>
      </c>
      <c r="C610" s="35" t="s">
        <v>68</v>
      </c>
      <c r="D610" s="36">
        <v>46361</v>
      </c>
      <c r="E610" s="12">
        <v>3000000</v>
      </c>
      <c r="F610" s="35"/>
      <c r="G610" s="35"/>
      <c r="H610" s="35" t="s">
        <v>24</v>
      </c>
    </row>
    <row r="611" spans="1:8" x14ac:dyDescent="0.25">
      <c r="A611" s="35" t="s">
        <v>45</v>
      </c>
      <c r="B611" s="35" t="s">
        <v>46</v>
      </c>
      <c r="C611" s="35" t="s">
        <v>68</v>
      </c>
      <c r="D611" s="36">
        <v>46366</v>
      </c>
      <c r="E611" s="12">
        <v>100000</v>
      </c>
      <c r="F611" s="35"/>
      <c r="G611" s="35"/>
      <c r="H611" s="35"/>
    </row>
    <row r="612" spans="1:8" x14ac:dyDescent="0.25">
      <c r="A612" s="35" t="s">
        <v>48</v>
      </c>
      <c r="B612" s="35" t="s">
        <v>49</v>
      </c>
      <c r="C612" s="35" t="s">
        <v>68</v>
      </c>
      <c r="D612" s="36">
        <v>46367</v>
      </c>
      <c r="E612" s="12">
        <v>2603890</v>
      </c>
      <c r="F612" s="35"/>
      <c r="G612" s="35"/>
      <c r="H612" s="35" t="s">
        <v>24</v>
      </c>
    </row>
    <row r="613" spans="1:8" x14ac:dyDescent="0.25">
      <c r="A613" s="35" t="s">
        <v>44</v>
      </c>
      <c r="B613" s="35">
        <v>894509</v>
      </c>
      <c r="C613" s="35" t="s">
        <v>68</v>
      </c>
      <c r="D613" s="36">
        <v>46370</v>
      </c>
      <c r="E613" s="12">
        <v>370000</v>
      </c>
      <c r="F613" s="35"/>
      <c r="G613" s="35"/>
      <c r="H613" s="35" t="s">
        <v>137</v>
      </c>
    </row>
    <row r="614" spans="1:8" x14ac:dyDescent="0.25">
      <c r="A614" s="35" t="s">
        <v>4</v>
      </c>
      <c r="B614" s="35" t="s">
        <v>70</v>
      </c>
      <c r="C614" s="35" t="s">
        <v>68</v>
      </c>
      <c r="D614" s="36">
        <v>46371</v>
      </c>
      <c r="E614" s="12">
        <v>1000000</v>
      </c>
      <c r="F614" s="35"/>
      <c r="G614" s="35"/>
      <c r="H614" s="35"/>
    </row>
    <row r="615" spans="1:8" x14ac:dyDescent="0.25">
      <c r="A615" s="35" t="s">
        <v>5</v>
      </c>
      <c r="B615" s="35" t="s">
        <v>70</v>
      </c>
      <c r="C615" s="35" t="s">
        <v>68</v>
      </c>
      <c r="D615" s="36">
        <v>46371</v>
      </c>
      <c r="E615" s="12">
        <v>1000000</v>
      </c>
      <c r="F615" s="35"/>
      <c r="G615" s="35"/>
      <c r="H615" s="35"/>
    </row>
    <row r="616" spans="1:8" x14ac:dyDescent="0.25">
      <c r="A616" s="35" t="s">
        <v>53</v>
      </c>
      <c r="B616" s="35" t="s">
        <v>54</v>
      </c>
      <c r="C616" s="35" t="s">
        <v>68</v>
      </c>
      <c r="D616" s="36">
        <v>46371</v>
      </c>
      <c r="E616" s="12">
        <v>119400</v>
      </c>
      <c r="F616" s="35"/>
      <c r="G616" s="35"/>
      <c r="H616" s="35"/>
    </row>
    <row r="617" spans="1:8" x14ac:dyDescent="0.25">
      <c r="A617" s="35" t="s">
        <v>4</v>
      </c>
      <c r="B617" s="35" t="s">
        <v>52</v>
      </c>
      <c r="C617" s="35" t="s">
        <v>68</v>
      </c>
      <c r="D617" s="36">
        <v>46371</v>
      </c>
      <c r="E617" s="12">
        <f>1083167*1.25</f>
        <v>1353958.75</v>
      </c>
      <c r="F617" s="35"/>
      <c r="G617" s="35"/>
      <c r="H617" s="35"/>
    </row>
    <row r="618" spans="1:8" x14ac:dyDescent="0.25">
      <c r="A618" s="35" t="s">
        <v>5</v>
      </c>
      <c r="B618" s="35" t="s">
        <v>52</v>
      </c>
      <c r="C618" s="35" t="s">
        <v>68</v>
      </c>
      <c r="D618" s="36">
        <v>46371</v>
      </c>
      <c r="E618" s="12">
        <f>1083167*1.25</f>
        <v>1353958.75</v>
      </c>
      <c r="F618" s="35"/>
      <c r="G618" s="35"/>
      <c r="H618" s="35"/>
    </row>
    <row r="619" spans="1:8" x14ac:dyDescent="0.25">
      <c r="A619" s="35" t="s">
        <v>51</v>
      </c>
      <c r="B619" s="35" t="s">
        <v>52</v>
      </c>
      <c r="C619" s="35" t="s">
        <v>68</v>
      </c>
      <c r="D619" s="36">
        <v>46371</v>
      </c>
      <c r="E619" s="12">
        <v>210000</v>
      </c>
      <c r="F619" s="35"/>
      <c r="G619" s="35"/>
      <c r="H619" s="35"/>
    </row>
    <row r="620" spans="1:8" x14ac:dyDescent="0.25">
      <c r="A620" s="35" t="s">
        <v>108</v>
      </c>
      <c r="B620" s="35" t="s">
        <v>52</v>
      </c>
      <c r="C620" s="35" t="s">
        <v>68</v>
      </c>
      <c r="D620" s="36">
        <v>46371</v>
      </c>
      <c r="E620" s="12">
        <v>210000</v>
      </c>
      <c r="F620" s="35"/>
      <c r="G620" s="35"/>
      <c r="H620" s="35"/>
    </row>
    <row r="621" spans="1:8" x14ac:dyDescent="0.25">
      <c r="A621" s="35" t="s">
        <v>136</v>
      </c>
      <c r="B621" s="35" t="s">
        <v>154</v>
      </c>
      <c r="C621" s="35" t="s">
        <v>68</v>
      </c>
      <c r="D621" s="36">
        <v>46371</v>
      </c>
      <c r="E621" s="12">
        <v>500000</v>
      </c>
      <c r="F621" s="35"/>
      <c r="G621" s="35"/>
      <c r="H621" s="35" t="s">
        <v>137</v>
      </c>
    </row>
    <row r="622" spans="1:8" x14ac:dyDescent="0.25">
      <c r="A622" s="35" t="s">
        <v>4</v>
      </c>
      <c r="B622" s="35" t="s">
        <v>52</v>
      </c>
      <c r="C622" s="35" t="s">
        <v>68</v>
      </c>
      <c r="D622" s="36">
        <v>46386</v>
      </c>
      <c r="E622" s="12">
        <f>1083167*1.25</f>
        <v>1353958.75</v>
      </c>
      <c r="F622" s="35"/>
      <c r="G622" s="35"/>
      <c r="H622" s="35"/>
    </row>
    <row r="623" spans="1:8" x14ac:dyDescent="0.25">
      <c r="A623" s="35" t="s">
        <v>5</v>
      </c>
      <c r="B623" s="35" t="s">
        <v>52</v>
      </c>
      <c r="C623" s="35" t="s">
        <v>68</v>
      </c>
      <c r="D623" s="36">
        <v>46386</v>
      </c>
      <c r="E623" s="12">
        <f>1083167*1.25</f>
        <v>1353958.75</v>
      </c>
      <c r="F623" s="35"/>
      <c r="G623" s="35"/>
      <c r="H623" s="35"/>
    </row>
    <row r="624" spans="1:8" x14ac:dyDescent="0.25">
      <c r="A624" s="35" t="s">
        <v>51</v>
      </c>
      <c r="B624" s="35" t="s">
        <v>52</v>
      </c>
      <c r="C624" s="35" t="s">
        <v>68</v>
      </c>
      <c r="D624" s="36">
        <v>46386</v>
      </c>
      <c r="E624" s="12">
        <v>210000</v>
      </c>
      <c r="F624" s="35"/>
      <c r="G624" s="35"/>
      <c r="H624" s="35"/>
    </row>
    <row r="625" spans="1:8" x14ac:dyDescent="0.25">
      <c r="A625" s="35" t="s">
        <v>108</v>
      </c>
      <c r="B625" s="35" t="s">
        <v>52</v>
      </c>
      <c r="C625" s="35" t="s">
        <v>68</v>
      </c>
      <c r="D625" s="36">
        <v>46386</v>
      </c>
      <c r="E625" s="12">
        <v>210000</v>
      </c>
      <c r="F625" s="35"/>
      <c r="G625" s="35"/>
      <c r="H625" s="35"/>
    </row>
    <row r="626" spans="1:8" x14ac:dyDescent="0.25">
      <c r="A626" s="35" t="s">
        <v>136</v>
      </c>
      <c r="B626" s="35" t="s">
        <v>154</v>
      </c>
      <c r="C626" s="35" t="s">
        <v>68</v>
      </c>
      <c r="D626" s="36">
        <v>46386</v>
      </c>
      <c r="E626" s="12">
        <v>500000</v>
      </c>
      <c r="F626" s="35"/>
      <c r="G626" s="35"/>
      <c r="H626" s="35" t="s">
        <v>137</v>
      </c>
    </row>
    <row r="627" spans="1:8" x14ac:dyDescent="0.25">
      <c r="A627" s="113" t="s">
        <v>32</v>
      </c>
      <c r="B627" s="113" t="s">
        <v>33</v>
      </c>
      <c r="C627" s="113" t="s">
        <v>356</v>
      </c>
      <c r="D627" s="36">
        <v>46199</v>
      </c>
      <c r="E627" s="49">
        <v>376450</v>
      </c>
      <c r="F627" s="35" t="s">
        <v>12</v>
      </c>
      <c r="G627" s="36">
        <v>46253</v>
      </c>
      <c r="H627" s="35" t="s">
        <v>25</v>
      </c>
    </row>
    <row r="628" spans="1:8" x14ac:dyDescent="0.25">
      <c r="A628" s="113" t="s">
        <v>32</v>
      </c>
      <c r="B628" s="113" t="s">
        <v>33</v>
      </c>
      <c r="C628" s="113" t="s">
        <v>357</v>
      </c>
      <c r="D628" s="36">
        <v>46199</v>
      </c>
      <c r="E628" s="49">
        <v>375050</v>
      </c>
      <c r="F628" s="35" t="s">
        <v>13</v>
      </c>
      <c r="G628" s="36">
        <v>46253</v>
      </c>
      <c r="H628" s="35" t="s">
        <v>25</v>
      </c>
    </row>
    <row r="629" spans="1:8" x14ac:dyDescent="0.25">
      <c r="A629" s="35" t="s">
        <v>32</v>
      </c>
      <c r="B629" s="35" t="s">
        <v>33</v>
      </c>
      <c r="C629" s="35" t="s">
        <v>374</v>
      </c>
      <c r="D629" s="36">
        <v>46295</v>
      </c>
      <c r="E629" s="12">
        <v>1147390</v>
      </c>
      <c r="F629" s="35"/>
      <c r="G629" s="35"/>
      <c r="H629" s="35" t="s">
        <v>25</v>
      </c>
    </row>
    <row r="630" spans="1:8" x14ac:dyDescent="0.25">
      <c r="A630" s="35"/>
      <c r="B630" s="35"/>
      <c r="C630" s="35"/>
      <c r="D630" s="36"/>
      <c r="E630" s="12"/>
      <c r="F630" s="35"/>
      <c r="G630" s="35"/>
      <c r="H630" s="35" t="s">
        <v>25</v>
      </c>
    </row>
    <row r="631" spans="1:8" x14ac:dyDescent="0.25">
      <c r="A631" s="35"/>
      <c r="B631" s="35"/>
      <c r="C631" s="35"/>
      <c r="D631" s="36"/>
      <c r="E631" s="12"/>
      <c r="F631" s="35"/>
      <c r="G631" s="35"/>
      <c r="H631" s="35" t="s">
        <v>25</v>
      </c>
    </row>
    <row r="632" spans="1:8" x14ac:dyDescent="0.25">
      <c r="A632" s="35"/>
      <c r="B632" s="35"/>
      <c r="C632" s="35"/>
      <c r="D632" s="36"/>
      <c r="E632" s="12"/>
      <c r="F632" s="35"/>
      <c r="G632" s="35"/>
      <c r="H632" s="35"/>
    </row>
    <row r="633" spans="1:8" x14ac:dyDescent="0.25">
      <c r="A633" s="35"/>
      <c r="B633" s="35"/>
      <c r="C633" s="35"/>
      <c r="D633" s="36"/>
      <c r="E633" s="12"/>
      <c r="F633" s="35"/>
      <c r="G633" s="35"/>
      <c r="H633" s="35"/>
    </row>
    <row r="634" spans="1:8" x14ac:dyDescent="0.25">
      <c r="A634" s="35"/>
      <c r="B634" s="35"/>
      <c r="C634" s="35"/>
      <c r="D634" s="36"/>
      <c r="E634" s="12"/>
      <c r="F634" s="35"/>
      <c r="G634" s="35"/>
      <c r="H634" s="35"/>
    </row>
    <row r="635" spans="1:8" x14ac:dyDescent="0.25">
      <c r="A635" s="35"/>
      <c r="B635" s="35"/>
      <c r="C635" s="35"/>
      <c r="D635" s="35"/>
      <c r="E635" s="12">
        <v>0</v>
      </c>
      <c r="F635" s="35"/>
      <c r="G635" s="35"/>
      <c r="H635" s="35"/>
    </row>
    <row r="636" spans="1:8" x14ac:dyDescent="0.25">
      <c r="E636" s="14"/>
    </row>
    <row r="637" spans="1:8" x14ac:dyDescent="0.25">
      <c r="D637" s="34" t="s">
        <v>139</v>
      </c>
      <c r="E637" s="34">
        <f>SUBTOTAL(9,E2:E611)</f>
        <v>510274617.57199997</v>
      </c>
    </row>
    <row r="639" spans="1:8" x14ac:dyDescent="0.25">
      <c r="D639" s="34" t="s">
        <v>274</v>
      </c>
      <c r="E639" s="34">
        <f>E637+Hoja1!E81</f>
        <v>520428350.57199997</v>
      </c>
    </row>
    <row r="640" spans="1:8" x14ac:dyDescent="0.25">
      <c r="D640" s="8" t="s">
        <v>281</v>
      </c>
      <c r="E640" s="34">
        <v>32217552</v>
      </c>
    </row>
    <row r="641" spans="4:5" x14ac:dyDescent="0.25">
      <c r="D641" s="8" t="s">
        <v>282</v>
      </c>
      <c r="E641" s="34">
        <f>E640-E639</f>
        <v>-488210798.57199997</v>
      </c>
    </row>
  </sheetData>
  <autoFilter ref="A1:H635" xr:uid="{07263182-CB96-42D2-A98F-26F97CC8FA02}">
    <sortState xmlns:xlrd2="http://schemas.microsoft.com/office/spreadsheetml/2017/richdata2" ref="A2:H635">
      <sortCondition ref="D1:D635"/>
    </sortState>
  </autoFilter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F2FD81-44E9-4D83-B16C-AAEC647EFBE9}">
          <x14:formula1>
            <xm:f>'NO TOCAR'!$E$1:$E$2</xm:f>
          </x14:formula1>
          <xm:sqref>H2:H28 H616:H617 H629 H66:H610</xm:sqref>
        </x14:dataValidation>
        <x14:dataValidation type="list" allowBlank="1" showInputMessage="1" showErrorMessage="1" xr:uid="{DB82DB46-F8C0-4E43-B347-8DCEB1E8268A}">
          <x14:formula1>
            <xm:f>'NO TOCAR'!$C$1:$C$2</xm:f>
          </x14:formula1>
          <xm:sqref>F2:F29 F234:F284 F32:F232 F286:F610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4C29-C222-4F2B-AFFC-CDD45F8FFA2D}">
  <dimension ref="A1:Q436"/>
  <sheetViews>
    <sheetView zoomScaleNormal="100" workbookViewId="0">
      <pane ySplit="1" topLeftCell="A404" activePane="bottomLeft" state="frozen"/>
      <selection pane="bottomLeft" activeCell="J432" sqref="J432"/>
    </sheetView>
  </sheetViews>
  <sheetFormatPr baseColWidth="10" defaultRowHeight="12.75" x14ac:dyDescent="0.25"/>
  <cols>
    <col min="1" max="1" width="10.140625" style="2" bestFit="1" customWidth="1"/>
    <col min="2" max="2" width="14.85546875" style="2" bestFit="1" customWidth="1"/>
    <col min="3" max="3" width="7" style="2" bestFit="1" customWidth="1"/>
    <col min="4" max="4" width="17" style="6" bestFit="1" customWidth="1"/>
    <col min="5" max="5" width="14.5703125" style="6" bestFit="1" customWidth="1"/>
    <col min="6" max="6" width="15.85546875" style="6" bestFit="1" customWidth="1"/>
    <col min="7" max="7" width="23.42578125" style="6" bestFit="1" customWidth="1"/>
    <col min="8" max="8" width="14.28515625" style="6" bestFit="1" customWidth="1"/>
    <col min="9" max="9" width="13.85546875" style="6" bestFit="1" customWidth="1"/>
    <col min="10" max="10" width="15.85546875" style="6" bestFit="1" customWidth="1"/>
    <col min="11" max="11" width="18.5703125" style="6" bestFit="1" customWidth="1"/>
    <col min="12" max="12" width="18.5703125" style="14" customWidth="1"/>
    <col min="13" max="13" width="15.7109375" style="6" bestFit="1" customWidth="1"/>
    <col min="14" max="14" width="18.42578125" style="3" bestFit="1" customWidth="1"/>
    <col min="15" max="15" width="20.85546875" style="7" bestFit="1" customWidth="1"/>
    <col min="16" max="16" width="12" style="4" bestFit="1" customWidth="1"/>
    <col min="17" max="17" width="50.5703125" style="4" bestFit="1" customWidth="1"/>
    <col min="18" max="18" width="12.28515625" style="4" bestFit="1" customWidth="1"/>
    <col min="19" max="16384" width="11.42578125" style="4"/>
  </cols>
  <sheetData>
    <row r="1" spans="1:17" s="1" customFormat="1" x14ac:dyDescent="0.25">
      <c r="A1" s="22" t="s">
        <v>243</v>
      </c>
      <c r="B1" s="8" t="s">
        <v>0</v>
      </c>
      <c r="C1" s="8" t="s">
        <v>15</v>
      </c>
      <c r="D1" s="8" t="s">
        <v>2</v>
      </c>
      <c r="E1" s="8" t="s">
        <v>8</v>
      </c>
      <c r="F1" s="8" t="s">
        <v>9</v>
      </c>
      <c r="G1" s="8" t="s">
        <v>10</v>
      </c>
      <c r="H1" s="23" t="s">
        <v>14</v>
      </c>
      <c r="I1" s="24" t="s">
        <v>1</v>
      </c>
      <c r="J1" s="8" t="s">
        <v>16</v>
      </c>
      <c r="K1" s="8" t="s">
        <v>17</v>
      </c>
      <c r="L1" s="28" t="s">
        <v>17</v>
      </c>
      <c r="M1" s="25" t="s">
        <v>6</v>
      </c>
      <c r="N1" s="26" t="s">
        <v>7</v>
      </c>
      <c r="O1" s="15" t="s">
        <v>11</v>
      </c>
      <c r="P1" s="27" t="s">
        <v>3</v>
      </c>
    </row>
    <row r="2" spans="1:17" s="11" customFormat="1" x14ac:dyDescent="0.25">
      <c r="A2" s="17"/>
      <c r="B2" s="17"/>
      <c r="C2" s="18"/>
      <c r="D2" s="12"/>
      <c r="E2" s="12"/>
      <c r="F2" s="12"/>
      <c r="G2" s="12"/>
      <c r="H2" s="19">
        <f t="shared" ref="H2" si="0">E2+F2+G2</f>
        <v>0</v>
      </c>
      <c r="I2" s="9">
        <f t="shared" ref="I2" si="1">D2+H2</f>
        <v>0</v>
      </c>
      <c r="J2" s="12">
        <v>0</v>
      </c>
      <c r="K2" s="12"/>
      <c r="L2" s="12"/>
      <c r="M2" s="29">
        <f>-2230000</f>
        <v>-2230000</v>
      </c>
      <c r="N2" s="30">
        <f>1379800-113332</f>
        <v>1266468</v>
      </c>
      <c r="O2" s="16"/>
      <c r="P2" s="10">
        <v>4870</v>
      </c>
    </row>
    <row r="3" spans="1:17" x14ac:dyDescent="0.25">
      <c r="A3" s="17">
        <v>46024</v>
      </c>
      <c r="B3" s="17" t="s">
        <v>5</v>
      </c>
      <c r="C3" s="18">
        <v>494</v>
      </c>
      <c r="D3" s="12">
        <v>265700</v>
      </c>
      <c r="E3" s="12">
        <v>40000</v>
      </c>
      <c r="F3" s="12">
        <v>0</v>
      </c>
      <c r="G3" s="12">
        <v>0</v>
      </c>
      <c r="H3" s="19">
        <f t="shared" ref="H3:H4" si="2">E3+F3+G3</f>
        <v>40000</v>
      </c>
      <c r="I3" s="9">
        <f t="shared" ref="I3:I4" si="3">D3+H3</f>
        <v>305700</v>
      </c>
      <c r="J3" s="12">
        <v>80000</v>
      </c>
      <c r="K3" s="12">
        <v>0</v>
      </c>
      <c r="L3" s="12">
        <v>30000</v>
      </c>
      <c r="M3" s="20">
        <f>H3-J3</f>
        <v>-40000</v>
      </c>
      <c r="N3" s="13">
        <f t="shared" ref="N3:N13" si="4">D3-K3</f>
        <v>265700</v>
      </c>
      <c r="O3" s="16">
        <v>265700</v>
      </c>
      <c r="P3" s="10">
        <f t="shared" ref="P3:P19" si="5">(N3-O3)*(-1)</f>
        <v>0</v>
      </c>
    </row>
    <row r="4" spans="1:17" x14ac:dyDescent="0.25">
      <c r="A4" s="17">
        <v>46024</v>
      </c>
      <c r="B4" s="17" t="s">
        <v>4</v>
      </c>
      <c r="C4" s="18">
        <v>495</v>
      </c>
      <c r="D4" s="12">
        <v>99900</v>
      </c>
      <c r="E4" s="12">
        <v>360800</v>
      </c>
      <c r="F4" s="12">
        <v>5000</v>
      </c>
      <c r="G4" s="12">
        <v>30200</v>
      </c>
      <c r="H4" s="19">
        <f t="shared" si="2"/>
        <v>396000</v>
      </c>
      <c r="I4" s="9">
        <f t="shared" si="3"/>
        <v>495900</v>
      </c>
      <c r="J4" s="12">
        <v>0</v>
      </c>
      <c r="K4" s="12">
        <v>0</v>
      </c>
      <c r="L4" s="12">
        <v>0</v>
      </c>
      <c r="M4" s="20">
        <f t="shared" ref="M4:M67" si="6">H4-J4</f>
        <v>396000</v>
      </c>
      <c r="N4" s="13">
        <f t="shared" si="4"/>
        <v>99900</v>
      </c>
      <c r="O4" s="16">
        <v>99900</v>
      </c>
      <c r="P4" s="10">
        <f t="shared" si="5"/>
        <v>0</v>
      </c>
    </row>
    <row r="5" spans="1:17" x14ac:dyDescent="0.25">
      <c r="A5" s="17">
        <f t="shared" ref="A5:A12" si="7">A3+1</f>
        <v>46025</v>
      </c>
      <c r="B5" s="21" t="s">
        <v>5</v>
      </c>
      <c r="C5" s="18">
        <v>496</v>
      </c>
      <c r="D5" s="12">
        <f>693900-4000</f>
        <v>689900</v>
      </c>
      <c r="E5" s="12">
        <v>303400</v>
      </c>
      <c r="F5" s="12">
        <f>18000+4000</f>
        <v>22000</v>
      </c>
      <c r="G5" s="12">
        <v>105200</v>
      </c>
      <c r="H5" s="19">
        <f t="shared" ref="H5:H34" si="8">E5+F5+G5</f>
        <v>430600</v>
      </c>
      <c r="I5" s="9">
        <f t="shared" ref="I5:I34" si="9">D5+H5</f>
        <v>1120500</v>
      </c>
      <c r="J5" s="12">
        <v>0</v>
      </c>
      <c r="K5" s="12">
        <v>3000</v>
      </c>
      <c r="L5" s="12">
        <v>16800</v>
      </c>
      <c r="M5" s="20">
        <f t="shared" si="6"/>
        <v>430600</v>
      </c>
      <c r="N5" s="13">
        <f t="shared" si="4"/>
        <v>686900</v>
      </c>
      <c r="O5" s="16">
        <v>686900</v>
      </c>
      <c r="P5" s="10">
        <f t="shared" si="5"/>
        <v>0</v>
      </c>
    </row>
    <row r="6" spans="1:17" x14ac:dyDescent="0.25">
      <c r="A6" s="17">
        <v>46026</v>
      </c>
      <c r="B6" s="17" t="s">
        <v>4</v>
      </c>
      <c r="C6" s="18">
        <v>497</v>
      </c>
      <c r="D6" s="12">
        <v>287200</v>
      </c>
      <c r="E6" s="12">
        <v>187500</v>
      </c>
      <c r="F6" s="12">
        <v>0</v>
      </c>
      <c r="G6" s="12">
        <v>139800</v>
      </c>
      <c r="H6" s="19">
        <f t="shared" si="8"/>
        <v>327300</v>
      </c>
      <c r="I6" s="9">
        <f t="shared" si="9"/>
        <v>614500</v>
      </c>
      <c r="J6" s="12">
        <v>0</v>
      </c>
      <c r="K6" s="12">
        <v>0</v>
      </c>
      <c r="L6" s="12">
        <v>0</v>
      </c>
      <c r="M6" s="20">
        <f t="shared" si="6"/>
        <v>327300</v>
      </c>
      <c r="N6" s="13">
        <f t="shared" si="4"/>
        <v>287200</v>
      </c>
      <c r="O6" s="16">
        <v>287200</v>
      </c>
      <c r="P6" s="10">
        <f t="shared" si="5"/>
        <v>0</v>
      </c>
    </row>
    <row r="7" spans="1:17" x14ac:dyDescent="0.25">
      <c r="A7" s="17">
        <f t="shared" si="7"/>
        <v>46026</v>
      </c>
      <c r="B7" s="21" t="s">
        <v>4</v>
      </c>
      <c r="C7" s="18">
        <v>498</v>
      </c>
      <c r="D7" s="12">
        <f>291100-24000</f>
        <v>267100</v>
      </c>
      <c r="E7" s="12">
        <v>243500</v>
      </c>
      <c r="F7" s="12">
        <v>23000</v>
      </c>
      <c r="G7" s="12">
        <v>77000</v>
      </c>
      <c r="H7" s="19">
        <f t="shared" si="8"/>
        <v>343500</v>
      </c>
      <c r="I7" s="9">
        <f t="shared" si="9"/>
        <v>610600</v>
      </c>
      <c r="J7" s="12">
        <v>3000000</v>
      </c>
      <c r="K7" s="12">
        <v>31000</v>
      </c>
      <c r="L7" s="12">
        <v>1873860</v>
      </c>
      <c r="M7" s="20">
        <f t="shared" si="6"/>
        <v>-2656500</v>
      </c>
      <c r="N7" s="13">
        <f>D7-K7</f>
        <v>236100</v>
      </c>
      <c r="O7" s="16">
        <v>236100</v>
      </c>
      <c r="P7" s="10">
        <f>(N7-O7)*(-1)</f>
        <v>0</v>
      </c>
    </row>
    <row r="8" spans="1:17" x14ac:dyDescent="0.25">
      <c r="A8" s="17">
        <f t="shared" si="7"/>
        <v>46027</v>
      </c>
      <c r="B8" s="17" t="s">
        <v>5</v>
      </c>
      <c r="C8" s="18">
        <v>499</v>
      </c>
      <c r="D8" s="12">
        <v>439900</v>
      </c>
      <c r="E8" s="12">
        <v>344300</v>
      </c>
      <c r="F8" s="12">
        <v>6000</v>
      </c>
      <c r="G8" s="12">
        <v>131000</v>
      </c>
      <c r="H8" s="19">
        <f t="shared" si="8"/>
        <v>481300</v>
      </c>
      <c r="I8" s="9">
        <f t="shared" si="9"/>
        <v>921200</v>
      </c>
      <c r="J8" s="12">
        <v>0</v>
      </c>
      <c r="K8" s="12">
        <v>13600</v>
      </c>
      <c r="L8" s="12">
        <v>0</v>
      </c>
      <c r="M8" s="20">
        <f t="shared" si="6"/>
        <v>481300</v>
      </c>
      <c r="N8" s="13">
        <f t="shared" si="4"/>
        <v>426300</v>
      </c>
      <c r="O8" s="16">
        <v>434300</v>
      </c>
      <c r="P8" s="10">
        <f t="shared" si="5"/>
        <v>8000</v>
      </c>
      <c r="Q8" s="5"/>
    </row>
    <row r="9" spans="1:17" x14ac:dyDescent="0.25">
      <c r="A9" s="17">
        <f>A8+1</f>
        <v>46028</v>
      </c>
      <c r="B9" s="17" t="s">
        <v>4</v>
      </c>
      <c r="C9" s="18">
        <v>500</v>
      </c>
      <c r="D9" s="12">
        <v>742637</v>
      </c>
      <c r="E9" s="12">
        <v>304800</v>
      </c>
      <c r="F9" s="12">
        <v>102000</v>
      </c>
      <c r="G9" s="12">
        <v>75400</v>
      </c>
      <c r="H9" s="19">
        <f t="shared" si="8"/>
        <v>482200</v>
      </c>
      <c r="I9" s="9">
        <f t="shared" si="9"/>
        <v>1224837</v>
      </c>
      <c r="J9" s="12">
        <v>0</v>
      </c>
      <c r="K9" s="12">
        <v>225071</v>
      </c>
      <c r="L9" s="12">
        <v>0</v>
      </c>
      <c r="M9" s="20">
        <f t="shared" si="6"/>
        <v>482200</v>
      </c>
      <c r="N9" s="13">
        <f t="shared" si="4"/>
        <v>517566</v>
      </c>
      <c r="O9" s="16">
        <v>518500</v>
      </c>
      <c r="P9" s="10">
        <f t="shared" si="5"/>
        <v>934</v>
      </c>
    </row>
    <row r="10" spans="1:17" x14ac:dyDescent="0.25">
      <c r="A10" s="17">
        <v>46029</v>
      </c>
      <c r="B10" s="21" t="s">
        <v>4</v>
      </c>
      <c r="C10" s="18">
        <v>501</v>
      </c>
      <c r="D10" s="12">
        <v>415100</v>
      </c>
      <c r="E10" s="12">
        <v>336300</v>
      </c>
      <c r="F10" s="12">
        <v>115000</v>
      </c>
      <c r="G10" s="12">
        <v>86000</v>
      </c>
      <c r="H10" s="19">
        <f>E10+F10+G10</f>
        <v>537300</v>
      </c>
      <c r="I10" s="9">
        <f t="shared" si="9"/>
        <v>952400</v>
      </c>
      <c r="J10" s="12">
        <v>0</v>
      </c>
      <c r="K10" s="12">
        <v>195000</v>
      </c>
      <c r="L10" s="12">
        <v>0</v>
      </c>
      <c r="M10" s="20">
        <f t="shared" si="6"/>
        <v>537300</v>
      </c>
      <c r="N10" s="13">
        <f t="shared" si="4"/>
        <v>220100</v>
      </c>
      <c r="O10" s="16">
        <v>220100</v>
      </c>
      <c r="P10" s="10">
        <f t="shared" si="5"/>
        <v>0</v>
      </c>
    </row>
    <row r="11" spans="1:17" x14ac:dyDescent="0.25">
      <c r="A11" s="17">
        <v>46030</v>
      </c>
      <c r="B11" s="17" t="s">
        <v>4</v>
      </c>
      <c r="C11" s="18">
        <v>502</v>
      </c>
      <c r="D11" s="12">
        <v>179600</v>
      </c>
      <c r="E11" s="12">
        <v>439000</v>
      </c>
      <c r="F11" s="12">
        <v>60000</v>
      </c>
      <c r="G11" s="12">
        <v>10000</v>
      </c>
      <c r="H11" s="19">
        <f>E11+F11+G11</f>
        <v>509000</v>
      </c>
      <c r="I11" s="9">
        <f t="shared" si="9"/>
        <v>688600</v>
      </c>
      <c r="J11" s="31">
        <f>1008439+606199</f>
        <v>1614638</v>
      </c>
      <c r="K11" s="12">
        <v>28000</v>
      </c>
      <c r="L11" s="31">
        <v>1950666</v>
      </c>
      <c r="M11" s="20">
        <f t="shared" si="6"/>
        <v>-1105638</v>
      </c>
      <c r="N11" s="13">
        <f t="shared" si="4"/>
        <v>151600</v>
      </c>
      <c r="O11" s="16">
        <v>151600</v>
      </c>
      <c r="P11" s="10">
        <f t="shared" si="5"/>
        <v>0</v>
      </c>
    </row>
    <row r="12" spans="1:17" x14ac:dyDescent="0.25">
      <c r="A12" s="17">
        <f t="shared" si="7"/>
        <v>46030</v>
      </c>
      <c r="B12" s="17" t="s">
        <v>5</v>
      </c>
      <c r="C12" s="18">
        <v>503</v>
      </c>
      <c r="D12" s="12">
        <v>264600</v>
      </c>
      <c r="E12" s="12">
        <v>45300</v>
      </c>
      <c r="F12" s="12">
        <v>50000</v>
      </c>
      <c r="G12" s="12">
        <v>50700</v>
      </c>
      <c r="H12" s="19">
        <f t="shared" si="8"/>
        <v>146000</v>
      </c>
      <c r="I12" s="9">
        <f t="shared" si="9"/>
        <v>410600</v>
      </c>
      <c r="J12" s="12">
        <v>0</v>
      </c>
      <c r="K12" s="12">
        <v>0</v>
      </c>
      <c r="L12" s="12">
        <v>16000</v>
      </c>
      <c r="M12" s="20">
        <f t="shared" si="6"/>
        <v>146000</v>
      </c>
      <c r="N12" s="13">
        <f t="shared" si="4"/>
        <v>264600</v>
      </c>
      <c r="O12" s="16">
        <v>264600</v>
      </c>
      <c r="P12" s="10">
        <f t="shared" si="5"/>
        <v>0</v>
      </c>
    </row>
    <row r="13" spans="1:17" ht="15" customHeight="1" x14ac:dyDescent="0.25">
      <c r="A13" s="17">
        <v>46031</v>
      </c>
      <c r="B13" s="17" t="s">
        <v>4</v>
      </c>
      <c r="C13" s="18">
        <v>504</v>
      </c>
      <c r="D13" s="12">
        <v>445200</v>
      </c>
      <c r="E13" s="12">
        <v>336500</v>
      </c>
      <c r="F13" s="12">
        <v>188000</v>
      </c>
      <c r="G13" s="12">
        <v>95800</v>
      </c>
      <c r="H13" s="19">
        <f t="shared" si="8"/>
        <v>620300</v>
      </c>
      <c r="I13" s="9">
        <f t="shared" si="9"/>
        <v>1065500</v>
      </c>
      <c r="J13" s="12">
        <v>0</v>
      </c>
      <c r="K13" s="12">
        <v>246800</v>
      </c>
      <c r="L13" s="12">
        <v>0</v>
      </c>
      <c r="M13" s="20">
        <f t="shared" si="6"/>
        <v>620300</v>
      </c>
      <c r="N13" s="13">
        <f t="shared" si="4"/>
        <v>198400</v>
      </c>
      <c r="O13" s="16">
        <v>198400</v>
      </c>
      <c r="P13" s="10">
        <f t="shared" si="5"/>
        <v>0</v>
      </c>
    </row>
    <row r="14" spans="1:17" ht="15.75" customHeight="1" x14ac:dyDescent="0.25">
      <c r="A14" s="17">
        <v>46031</v>
      </c>
      <c r="B14" s="17" t="s">
        <v>5</v>
      </c>
      <c r="C14" s="18">
        <v>505</v>
      </c>
      <c r="D14" s="12">
        <v>210200</v>
      </c>
      <c r="E14" s="12">
        <v>173600</v>
      </c>
      <c r="F14" s="12">
        <v>0</v>
      </c>
      <c r="G14" s="12">
        <v>0</v>
      </c>
      <c r="H14" s="19">
        <f t="shared" si="8"/>
        <v>173600</v>
      </c>
      <c r="I14" s="9">
        <f t="shared" si="9"/>
        <v>383800</v>
      </c>
      <c r="J14" s="12">
        <v>0</v>
      </c>
      <c r="K14" s="12">
        <v>0</v>
      </c>
      <c r="L14" s="12">
        <v>0</v>
      </c>
      <c r="M14" s="20">
        <f t="shared" si="6"/>
        <v>173600</v>
      </c>
      <c r="N14" s="13">
        <f t="shared" ref="N14:N19" si="10">D14-K14</f>
        <v>210200</v>
      </c>
      <c r="O14" s="16">
        <v>210200</v>
      </c>
      <c r="P14" s="10">
        <f t="shared" si="5"/>
        <v>0</v>
      </c>
    </row>
    <row r="15" spans="1:17" s="14" customFormat="1" ht="15.75" customHeight="1" x14ac:dyDescent="0.25">
      <c r="A15" s="17">
        <v>46032</v>
      </c>
      <c r="B15" s="17" t="s">
        <v>4</v>
      </c>
      <c r="C15" s="18">
        <v>506</v>
      </c>
      <c r="D15" s="12">
        <v>467200</v>
      </c>
      <c r="E15" s="12">
        <v>339300</v>
      </c>
      <c r="F15" s="12">
        <v>120000</v>
      </c>
      <c r="G15" s="12">
        <v>35000</v>
      </c>
      <c r="H15" s="19">
        <f t="shared" si="8"/>
        <v>494300</v>
      </c>
      <c r="I15" s="9">
        <f t="shared" si="9"/>
        <v>961500</v>
      </c>
      <c r="J15" s="12">
        <v>0</v>
      </c>
      <c r="K15" s="12">
        <v>118230</v>
      </c>
      <c r="L15" s="12">
        <v>39000</v>
      </c>
      <c r="M15" s="20">
        <f t="shared" si="6"/>
        <v>494300</v>
      </c>
      <c r="N15" s="13">
        <f t="shared" si="10"/>
        <v>348970</v>
      </c>
      <c r="O15" s="16">
        <v>349000</v>
      </c>
      <c r="P15" s="10">
        <f t="shared" si="5"/>
        <v>30</v>
      </c>
    </row>
    <row r="16" spans="1:17" s="14" customFormat="1" ht="15.75" customHeight="1" x14ac:dyDescent="0.25">
      <c r="A16" s="17">
        <v>46033</v>
      </c>
      <c r="B16" s="32" t="s">
        <v>5</v>
      </c>
      <c r="C16" s="18">
        <v>507</v>
      </c>
      <c r="D16" s="12">
        <v>871100</v>
      </c>
      <c r="E16" s="12">
        <v>226000</v>
      </c>
      <c r="F16" s="12">
        <v>53500</v>
      </c>
      <c r="G16" s="12">
        <v>21000</v>
      </c>
      <c r="H16" s="19">
        <f t="shared" si="8"/>
        <v>300500</v>
      </c>
      <c r="I16" s="9">
        <f t="shared" si="9"/>
        <v>1171600</v>
      </c>
      <c r="J16" s="12">
        <v>100000</v>
      </c>
      <c r="K16" s="12">
        <v>290000</v>
      </c>
      <c r="L16" s="12">
        <v>0</v>
      </c>
      <c r="M16" s="20">
        <f t="shared" si="6"/>
        <v>200500</v>
      </c>
      <c r="N16" s="13">
        <f t="shared" si="10"/>
        <v>581100</v>
      </c>
      <c r="O16" s="16">
        <v>581200</v>
      </c>
      <c r="P16" s="10">
        <f>(N16-O16)*(-1)</f>
        <v>100</v>
      </c>
    </row>
    <row r="17" spans="1:16" s="14" customFormat="1" ht="15.75" customHeight="1" x14ac:dyDescent="0.25">
      <c r="A17" s="17">
        <v>46034</v>
      </c>
      <c r="B17" s="17" t="s">
        <v>5</v>
      </c>
      <c r="C17" s="18">
        <v>508</v>
      </c>
      <c r="D17" s="12">
        <v>183000</v>
      </c>
      <c r="E17" s="12">
        <v>20000</v>
      </c>
      <c r="F17" s="12">
        <v>36000</v>
      </c>
      <c r="G17" s="12">
        <v>50000</v>
      </c>
      <c r="H17" s="19">
        <f t="shared" si="8"/>
        <v>106000</v>
      </c>
      <c r="I17" s="9">
        <f t="shared" si="9"/>
        <v>289000</v>
      </c>
      <c r="J17" s="12">
        <v>0</v>
      </c>
      <c r="K17" s="12">
        <v>0</v>
      </c>
      <c r="L17" s="12">
        <v>0</v>
      </c>
      <c r="M17" s="20">
        <f t="shared" si="6"/>
        <v>106000</v>
      </c>
      <c r="N17" s="13">
        <f t="shared" si="10"/>
        <v>183000</v>
      </c>
      <c r="O17" s="16">
        <v>183000</v>
      </c>
      <c r="P17" s="10">
        <f t="shared" si="5"/>
        <v>0</v>
      </c>
    </row>
    <row r="18" spans="1:16" s="14" customFormat="1" ht="15.75" customHeight="1" x14ac:dyDescent="0.25">
      <c r="A18" s="17">
        <v>46034</v>
      </c>
      <c r="B18" s="17" t="s">
        <v>4</v>
      </c>
      <c r="C18" s="18">
        <v>509</v>
      </c>
      <c r="D18" s="12">
        <v>428600</v>
      </c>
      <c r="E18" s="12">
        <v>148000</v>
      </c>
      <c r="F18" s="12">
        <v>63000</v>
      </c>
      <c r="G18" s="12">
        <v>104000</v>
      </c>
      <c r="H18" s="19">
        <f t="shared" si="8"/>
        <v>315000</v>
      </c>
      <c r="I18" s="9">
        <f t="shared" si="9"/>
        <v>743600</v>
      </c>
      <c r="J18" s="12">
        <v>0</v>
      </c>
      <c r="K18" s="12">
        <v>0</v>
      </c>
      <c r="L18" s="12">
        <v>0</v>
      </c>
      <c r="M18" s="20">
        <f t="shared" si="6"/>
        <v>315000</v>
      </c>
      <c r="N18" s="13">
        <f t="shared" si="10"/>
        <v>428600</v>
      </c>
      <c r="O18" s="16">
        <v>428600</v>
      </c>
      <c r="P18" s="10">
        <f t="shared" si="5"/>
        <v>0</v>
      </c>
    </row>
    <row r="19" spans="1:16" s="14" customFormat="1" ht="15.75" customHeight="1" x14ac:dyDescent="0.25">
      <c r="A19" s="17">
        <v>46035</v>
      </c>
      <c r="B19" s="17" t="s">
        <v>5</v>
      </c>
      <c r="C19" s="18">
        <v>510</v>
      </c>
      <c r="D19" s="12">
        <v>1849500</v>
      </c>
      <c r="E19" s="12">
        <v>73400</v>
      </c>
      <c r="F19" s="12">
        <v>0</v>
      </c>
      <c r="G19" s="12">
        <v>291100</v>
      </c>
      <c r="H19" s="19">
        <f t="shared" ref="H19" si="11">E19+F19+G19</f>
        <v>364500</v>
      </c>
      <c r="I19" s="9">
        <f t="shared" ref="I19" si="12">D19+H19</f>
        <v>2214000</v>
      </c>
      <c r="J19" s="12">
        <f>308592+2311920+1440950</f>
        <v>4061462</v>
      </c>
      <c r="K19" s="12">
        <v>1317484</v>
      </c>
      <c r="L19" s="12">
        <v>1127700</v>
      </c>
      <c r="M19" s="20">
        <f t="shared" si="6"/>
        <v>-3696962</v>
      </c>
      <c r="N19" s="13">
        <f t="shared" si="10"/>
        <v>532016</v>
      </c>
      <c r="O19" s="16">
        <v>532016</v>
      </c>
      <c r="P19" s="10">
        <f t="shared" si="5"/>
        <v>0</v>
      </c>
    </row>
    <row r="20" spans="1:16" s="14" customFormat="1" ht="15.75" customHeight="1" x14ac:dyDescent="0.25">
      <c r="A20" s="17">
        <v>46036</v>
      </c>
      <c r="B20" s="17" t="s">
        <v>5</v>
      </c>
      <c r="C20" s="18">
        <v>511</v>
      </c>
      <c r="D20" s="12">
        <v>543900</v>
      </c>
      <c r="E20" s="12">
        <v>245700</v>
      </c>
      <c r="F20" s="12">
        <v>12500</v>
      </c>
      <c r="G20" s="12">
        <v>86000</v>
      </c>
      <c r="H20" s="19">
        <f t="shared" ref="H20:H23" si="13">E20+F20+G20</f>
        <v>344200</v>
      </c>
      <c r="I20" s="9">
        <f t="shared" ref="I20:I23" si="14">D20+H20</f>
        <v>888100</v>
      </c>
      <c r="J20" s="12">
        <v>164739</v>
      </c>
      <c r="K20" s="12">
        <v>0</v>
      </c>
      <c r="L20" s="12">
        <v>340000</v>
      </c>
      <c r="M20" s="20">
        <f t="shared" si="6"/>
        <v>179461</v>
      </c>
      <c r="N20" s="13">
        <f t="shared" ref="N20:N23" si="15">D20-K20</f>
        <v>543900</v>
      </c>
      <c r="O20" s="16">
        <v>543900</v>
      </c>
      <c r="P20" s="10">
        <f t="shared" ref="P20:P23" si="16">(N20-O20)*(-1)</f>
        <v>0</v>
      </c>
    </row>
    <row r="21" spans="1:16" s="14" customFormat="1" ht="15.75" customHeight="1" x14ac:dyDescent="0.25">
      <c r="A21" s="17">
        <v>46037</v>
      </c>
      <c r="B21" s="17" t="s">
        <v>5</v>
      </c>
      <c r="C21" s="18">
        <v>512</v>
      </c>
      <c r="D21" s="12">
        <v>363100</v>
      </c>
      <c r="E21" s="12">
        <v>51700</v>
      </c>
      <c r="F21" s="12">
        <v>0</v>
      </c>
      <c r="G21" s="12">
        <v>46500</v>
      </c>
      <c r="H21" s="19">
        <f t="shared" si="13"/>
        <v>98200</v>
      </c>
      <c r="I21" s="9">
        <f t="shared" si="14"/>
        <v>461300</v>
      </c>
      <c r="J21" s="12">
        <v>0</v>
      </c>
      <c r="K21" s="12">
        <v>39500</v>
      </c>
      <c r="L21" s="12">
        <v>0</v>
      </c>
      <c r="M21" s="20">
        <f t="shared" si="6"/>
        <v>98200</v>
      </c>
      <c r="N21" s="13">
        <f t="shared" si="15"/>
        <v>323600</v>
      </c>
      <c r="O21" s="16">
        <v>323600</v>
      </c>
      <c r="P21" s="10">
        <f t="shared" si="16"/>
        <v>0</v>
      </c>
    </row>
    <row r="22" spans="1:16" s="14" customFormat="1" ht="16.5" customHeight="1" x14ac:dyDescent="0.25">
      <c r="A22" s="17">
        <v>46037</v>
      </c>
      <c r="B22" s="17" t="s">
        <v>4</v>
      </c>
      <c r="C22" s="18">
        <v>513</v>
      </c>
      <c r="D22" s="12">
        <v>457040</v>
      </c>
      <c r="E22" s="12">
        <v>59800</v>
      </c>
      <c r="F22" s="12">
        <v>106500</v>
      </c>
      <c r="G22" s="12">
        <v>162600</v>
      </c>
      <c r="H22" s="19">
        <f t="shared" si="13"/>
        <v>328900</v>
      </c>
      <c r="I22" s="9">
        <f t="shared" si="14"/>
        <v>785940</v>
      </c>
      <c r="J22" s="12">
        <v>0</v>
      </c>
      <c r="K22" s="12">
        <v>100500</v>
      </c>
      <c r="L22" s="12">
        <v>0</v>
      </c>
      <c r="M22" s="20">
        <f t="shared" si="6"/>
        <v>328900</v>
      </c>
      <c r="N22" s="13">
        <f t="shared" si="15"/>
        <v>356540</v>
      </c>
      <c r="O22" s="16">
        <v>356540</v>
      </c>
      <c r="P22" s="10">
        <f t="shared" si="16"/>
        <v>0</v>
      </c>
    </row>
    <row r="23" spans="1:16" s="14" customFormat="1" ht="15.75" customHeight="1" x14ac:dyDescent="0.25">
      <c r="A23" s="17">
        <v>46038</v>
      </c>
      <c r="B23" s="17" t="s">
        <v>5</v>
      </c>
      <c r="C23" s="18">
        <v>514</v>
      </c>
      <c r="D23" s="12">
        <v>260600</v>
      </c>
      <c r="E23" s="12">
        <v>12000</v>
      </c>
      <c r="F23" s="12">
        <v>0</v>
      </c>
      <c r="G23" s="12">
        <v>24000</v>
      </c>
      <c r="H23" s="19">
        <f t="shared" si="13"/>
        <v>36000</v>
      </c>
      <c r="I23" s="9">
        <f t="shared" si="14"/>
        <v>296600</v>
      </c>
      <c r="J23" s="12">
        <v>0</v>
      </c>
      <c r="K23" s="12">
        <v>0</v>
      </c>
      <c r="L23" s="12">
        <v>0</v>
      </c>
      <c r="M23" s="20">
        <f t="shared" si="6"/>
        <v>36000</v>
      </c>
      <c r="N23" s="13">
        <f t="shared" si="15"/>
        <v>260600</v>
      </c>
      <c r="O23" s="16">
        <v>260600</v>
      </c>
      <c r="P23" s="10">
        <f t="shared" si="16"/>
        <v>0</v>
      </c>
    </row>
    <row r="24" spans="1:16" s="14" customFormat="1" ht="15.75" customHeight="1" x14ac:dyDescent="0.25">
      <c r="A24" s="17">
        <v>46038</v>
      </c>
      <c r="B24" s="17" t="s">
        <v>4</v>
      </c>
      <c r="C24" s="18">
        <v>515</v>
      </c>
      <c r="D24" s="12">
        <v>2716400</v>
      </c>
      <c r="E24" s="12">
        <v>76800</v>
      </c>
      <c r="F24" s="12">
        <v>18000</v>
      </c>
      <c r="G24" s="12">
        <v>342100</v>
      </c>
      <c r="H24" s="19">
        <f t="shared" si="8"/>
        <v>436900</v>
      </c>
      <c r="I24" s="9">
        <f t="shared" si="9"/>
        <v>3153300</v>
      </c>
      <c r="J24" s="12">
        <v>1000000</v>
      </c>
      <c r="K24" s="31">
        <v>2317000</v>
      </c>
      <c r="L24" s="31">
        <v>2317000</v>
      </c>
      <c r="M24" s="20">
        <f t="shared" si="6"/>
        <v>-563100</v>
      </c>
      <c r="N24" s="13">
        <f t="shared" ref="N24" si="17">D24-K24</f>
        <v>399400</v>
      </c>
      <c r="O24" s="16">
        <v>402200</v>
      </c>
      <c r="P24" s="10">
        <f t="shared" ref="P24" si="18">(N24-O24)*(-1)</f>
        <v>2800</v>
      </c>
    </row>
    <row r="25" spans="1:16" s="14" customFormat="1" ht="15.75" customHeight="1" x14ac:dyDescent="0.25">
      <c r="A25" s="17">
        <v>46039</v>
      </c>
      <c r="B25" s="17" t="s">
        <v>5</v>
      </c>
      <c r="C25" s="18">
        <v>516</v>
      </c>
      <c r="D25" s="12">
        <v>498700</v>
      </c>
      <c r="E25" s="12">
        <v>141000</v>
      </c>
      <c r="F25" s="12">
        <v>28000</v>
      </c>
      <c r="G25" s="12">
        <v>52000</v>
      </c>
      <c r="H25" s="19">
        <f t="shared" si="8"/>
        <v>221000</v>
      </c>
      <c r="I25" s="9">
        <f t="shared" si="9"/>
        <v>719700</v>
      </c>
      <c r="J25" s="12">
        <v>0</v>
      </c>
      <c r="K25" s="12">
        <v>0</v>
      </c>
      <c r="L25" s="12">
        <v>0</v>
      </c>
      <c r="M25" s="20">
        <f t="shared" si="6"/>
        <v>221000</v>
      </c>
      <c r="N25" s="13">
        <f t="shared" ref="N25:N34" si="19">D25-K25</f>
        <v>498700</v>
      </c>
      <c r="O25" s="16">
        <v>498700</v>
      </c>
      <c r="P25" s="10">
        <f t="shared" ref="P25:P39" si="20">(N25-O25)*(-1)</f>
        <v>0</v>
      </c>
    </row>
    <row r="26" spans="1:16" s="14" customFormat="1" ht="15.75" customHeight="1" x14ac:dyDescent="0.25">
      <c r="A26" s="17">
        <v>46040</v>
      </c>
      <c r="B26" s="17" t="s">
        <v>4</v>
      </c>
      <c r="C26" s="18">
        <v>517</v>
      </c>
      <c r="D26" s="12">
        <v>462600</v>
      </c>
      <c r="E26" s="12">
        <v>283900</v>
      </c>
      <c r="F26" s="12">
        <v>27000</v>
      </c>
      <c r="G26" s="12">
        <v>18000</v>
      </c>
      <c r="H26" s="19">
        <f t="shared" si="8"/>
        <v>328900</v>
      </c>
      <c r="I26" s="9">
        <f t="shared" si="9"/>
        <v>791500</v>
      </c>
      <c r="J26" s="12">
        <v>0</v>
      </c>
      <c r="K26" s="12">
        <v>190000</v>
      </c>
      <c r="L26" s="12">
        <v>190000</v>
      </c>
      <c r="M26" s="20">
        <f t="shared" si="6"/>
        <v>328900</v>
      </c>
      <c r="N26" s="13">
        <f t="shared" si="19"/>
        <v>272600</v>
      </c>
      <c r="O26" s="16">
        <v>272600</v>
      </c>
      <c r="P26" s="10">
        <f t="shared" si="20"/>
        <v>0</v>
      </c>
    </row>
    <row r="27" spans="1:16" s="14" customFormat="1" ht="15.75" customHeight="1" x14ac:dyDescent="0.25">
      <c r="A27" s="17">
        <v>46041</v>
      </c>
      <c r="B27" s="17" t="s">
        <v>4</v>
      </c>
      <c r="C27" s="18">
        <v>518</v>
      </c>
      <c r="D27" s="12">
        <v>212600</v>
      </c>
      <c r="E27" s="12">
        <v>39000</v>
      </c>
      <c r="F27" s="12">
        <v>0</v>
      </c>
      <c r="G27" s="12">
        <v>312400</v>
      </c>
      <c r="H27" s="19">
        <f t="shared" si="8"/>
        <v>351400</v>
      </c>
      <c r="I27" s="9">
        <f t="shared" si="9"/>
        <v>564000</v>
      </c>
      <c r="J27" s="12">
        <v>0</v>
      </c>
      <c r="K27" s="12">
        <v>5000</v>
      </c>
      <c r="L27" s="12">
        <v>1450000</v>
      </c>
      <c r="M27" s="20">
        <f t="shared" si="6"/>
        <v>351400</v>
      </c>
      <c r="N27" s="13">
        <f t="shared" si="19"/>
        <v>207600</v>
      </c>
      <c r="O27" s="16">
        <v>207600</v>
      </c>
      <c r="P27" s="10">
        <v>0</v>
      </c>
    </row>
    <row r="28" spans="1:16" s="14" customFormat="1" ht="15.75" customHeight="1" x14ac:dyDescent="0.25">
      <c r="A28" s="17">
        <v>46222</v>
      </c>
      <c r="B28" s="17" t="s">
        <v>5</v>
      </c>
      <c r="C28" s="18">
        <v>519</v>
      </c>
      <c r="D28" s="12">
        <v>270500</v>
      </c>
      <c r="E28" s="12">
        <v>339200</v>
      </c>
      <c r="F28" s="12">
        <v>0</v>
      </c>
      <c r="G28" s="12">
        <v>107800</v>
      </c>
      <c r="H28" s="19">
        <f t="shared" si="8"/>
        <v>447000</v>
      </c>
      <c r="I28" s="9">
        <f t="shared" si="9"/>
        <v>717500</v>
      </c>
      <c r="J28" s="12">
        <v>0</v>
      </c>
      <c r="K28" s="12">
        <v>5000</v>
      </c>
      <c r="L28" s="12">
        <v>0</v>
      </c>
      <c r="M28" s="20">
        <f t="shared" si="6"/>
        <v>447000</v>
      </c>
      <c r="N28" s="13">
        <f t="shared" si="19"/>
        <v>265500</v>
      </c>
      <c r="O28" s="16">
        <v>270500</v>
      </c>
      <c r="P28" s="10">
        <f t="shared" si="20"/>
        <v>5000</v>
      </c>
    </row>
    <row r="29" spans="1:16" s="14" customFormat="1" ht="15.75" customHeight="1" x14ac:dyDescent="0.25">
      <c r="A29" s="17">
        <v>46042</v>
      </c>
      <c r="B29" s="17" t="s">
        <v>4</v>
      </c>
      <c r="C29" s="18">
        <v>520</v>
      </c>
      <c r="D29" s="12">
        <v>245200</v>
      </c>
      <c r="E29" s="12">
        <v>107700</v>
      </c>
      <c r="F29" s="12">
        <v>28000</v>
      </c>
      <c r="G29" s="12">
        <v>109500</v>
      </c>
      <c r="H29" s="19">
        <f t="shared" si="8"/>
        <v>245200</v>
      </c>
      <c r="I29" s="9">
        <f t="shared" si="9"/>
        <v>490400</v>
      </c>
      <c r="J29" s="12">
        <v>0</v>
      </c>
      <c r="K29" s="12">
        <v>0</v>
      </c>
      <c r="L29" s="12">
        <v>0</v>
      </c>
      <c r="M29" s="20">
        <f t="shared" si="6"/>
        <v>245200</v>
      </c>
      <c r="N29" s="13">
        <f t="shared" si="19"/>
        <v>245200</v>
      </c>
      <c r="O29" s="16">
        <v>245200</v>
      </c>
      <c r="P29" s="10">
        <f>(N29-O29)*(-1)</f>
        <v>0</v>
      </c>
    </row>
    <row r="30" spans="1:16" s="14" customFormat="1" ht="15.75" customHeight="1" x14ac:dyDescent="0.25">
      <c r="A30" s="17">
        <v>46042</v>
      </c>
      <c r="B30" s="17" t="s">
        <v>5</v>
      </c>
      <c r="C30" s="18">
        <v>521</v>
      </c>
      <c r="D30" s="12">
        <v>238600</v>
      </c>
      <c r="E30" s="12">
        <v>8000</v>
      </c>
      <c r="F30" s="12">
        <v>21000</v>
      </c>
      <c r="G30" s="12">
        <v>7000</v>
      </c>
      <c r="H30" s="19">
        <f t="shared" si="8"/>
        <v>36000</v>
      </c>
      <c r="I30" s="9">
        <f t="shared" si="9"/>
        <v>274600</v>
      </c>
      <c r="J30" s="12">
        <f>295318+224831</f>
        <v>520149</v>
      </c>
      <c r="K30" s="12">
        <v>0</v>
      </c>
      <c r="L30" s="12">
        <v>0</v>
      </c>
      <c r="M30" s="20">
        <f t="shared" si="6"/>
        <v>-484149</v>
      </c>
      <c r="N30" s="13">
        <f t="shared" si="19"/>
        <v>238600</v>
      </c>
      <c r="O30" s="16">
        <v>238600</v>
      </c>
      <c r="P30" s="10">
        <f t="shared" si="20"/>
        <v>0</v>
      </c>
    </row>
    <row r="31" spans="1:16" s="14" customFormat="1" ht="15.75" customHeight="1" x14ac:dyDescent="0.25">
      <c r="A31" s="17">
        <v>46043</v>
      </c>
      <c r="B31" s="17" t="s">
        <v>4</v>
      </c>
      <c r="C31" s="18">
        <v>522</v>
      </c>
      <c r="D31" s="12">
        <v>334000</v>
      </c>
      <c r="E31" s="12">
        <v>63000</v>
      </c>
      <c r="F31" s="12">
        <v>8500</v>
      </c>
      <c r="G31" s="12">
        <v>34500</v>
      </c>
      <c r="H31" s="19">
        <f t="shared" si="8"/>
        <v>106000</v>
      </c>
      <c r="I31" s="9">
        <f t="shared" si="9"/>
        <v>440000</v>
      </c>
      <c r="J31" s="12">
        <v>50000</v>
      </c>
      <c r="K31" s="12">
        <v>0</v>
      </c>
      <c r="L31" s="12">
        <v>1493600</v>
      </c>
      <c r="M31" s="20">
        <f t="shared" si="6"/>
        <v>56000</v>
      </c>
      <c r="N31" s="13">
        <f t="shared" si="19"/>
        <v>334000</v>
      </c>
      <c r="O31" s="16">
        <v>334000</v>
      </c>
      <c r="P31" s="10">
        <f t="shared" si="20"/>
        <v>0</v>
      </c>
    </row>
    <row r="32" spans="1:16" s="14" customFormat="1" ht="15.75" customHeight="1" x14ac:dyDescent="0.25">
      <c r="A32" s="17">
        <v>46043</v>
      </c>
      <c r="B32" s="17" t="s">
        <v>5</v>
      </c>
      <c r="C32" s="18">
        <v>523</v>
      </c>
      <c r="D32" s="12">
        <v>207400</v>
      </c>
      <c r="E32" s="12">
        <v>255000</v>
      </c>
      <c r="F32" s="12">
        <v>0</v>
      </c>
      <c r="G32" s="12">
        <v>170800</v>
      </c>
      <c r="H32" s="19">
        <f t="shared" si="8"/>
        <v>425800</v>
      </c>
      <c r="I32" s="9">
        <f t="shared" si="9"/>
        <v>633200</v>
      </c>
      <c r="J32" s="12">
        <v>0</v>
      </c>
      <c r="K32" s="12">
        <v>4000</v>
      </c>
      <c r="L32" s="12">
        <v>0</v>
      </c>
      <c r="M32" s="20">
        <f t="shared" si="6"/>
        <v>425800</v>
      </c>
      <c r="N32" s="13">
        <f t="shared" si="19"/>
        <v>203400</v>
      </c>
      <c r="O32" s="16">
        <v>203400</v>
      </c>
      <c r="P32" s="10">
        <f t="shared" si="20"/>
        <v>0</v>
      </c>
    </row>
    <row r="33" spans="1:16" s="14" customFormat="1" ht="15.75" customHeight="1" x14ac:dyDescent="0.25">
      <c r="A33" s="17">
        <v>46044</v>
      </c>
      <c r="B33" s="17" t="s">
        <v>4</v>
      </c>
      <c r="C33" s="18">
        <v>524</v>
      </c>
      <c r="D33" s="12">
        <v>246900</v>
      </c>
      <c r="E33" s="12">
        <v>47000</v>
      </c>
      <c r="F33" s="12">
        <v>0</v>
      </c>
      <c r="G33" s="12">
        <v>23000</v>
      </c>
      <c r="H33" s="19">
        <f t="shared" si="8"/>
        <v>70000</v>
      </c>
      <c r="I33" s="9">
        <f t="shared" si="9"/>
        <v>316900</v>
      </c>
      <c r="J33" s="12">
        <v>0</v>
      </c>
      <c r="K33" s="12">
        <v>136999</v>
      </c>
      <c r="L33" s="12">
        <v>0</v>
      </c>
      <c r="M33" s="20">
        <f t="shared" si="6"/>
        <v>70000</v>
      </c>
      <c r="N33" s="13">
        <f t="shared" si="19"/>
        <v>109901</v>
      </c>
      <c r="O33" s="16">
        <v>110100</v>
      </c>
      <c r="P33" s="10">
        <f t="shared" si="20"/>
        <v>199</v>
      </c>
    </row>
    <row r="34" spans="1:16" s="14" customFormat="1" ht="15.75" customHeight="1" x14ac:dyDescent="0.25">
      <c r="A34" s="17">
        <v>46044</v>
      </c>
      <c r="B34" s="17" t="s">
        <v>5</v>
      </c>
      <c r="C34" s="18">
        <v>525</v>
      </c>
      <c r="D34" s="12">
        <v>181100</v>
      </c>
      <c r="E34" s="12">
        <v>508600</v>
      </c>
      <c r="F34" s="12">
        <v>10000</v>
      </c>
      <c r="G34" s="12">
        <v>47500</v>
      </c>
      <c r="H34" s="19">
        <f t="shared" si="8"/>
        <v>566100</v>
      </c>
      <c r="I34" s="9">
        <f t="shared" si="9"/>
        <v>747200</v>
      </c>
      <c r="J34" s="12">
        <v>0</v>
      </c>
      <c r="K34" s="12">
        <v>0</v>
      </c>
      <c r="L34" s="12">
        <v>0</v>
      </c>
      <c r="M34" s="20">
        <f t="shared" si="6"/>
        <v>566100</v>
      </c>
      <c r="N34" s="13">
        <f t="shared" si="19"/>
        <v>181100</v>
      </c>
      <c r="O34" s="16">
        <v>181100</v>
      </c>
      <c r="P34" s="10">
        <f t="shared" si="20"/>
        <v>0</v>
      </c>
    </row>
    <row r="35" spans="1:16" s="14" customFormat="1" ht="15.75" customHeight="1" x14ac:dyDescent="0.25">
      <c r="A35" s="17">
        <v>46045</v>
      </c>
      <c r="B35" s="17" t="s">
        <v>4</v>
      </c>
      <c r="C35" s="18">
        <v>526</v>
      </c>
      <c r="D35" s="12">
        <v>101800</v>
      </c>
      <c r="E35" s="12">
        <v>63800</v>
      </c>
      <c r="F35" s="12">
        <v>0</v>
      </c>
      <c r="G35" s="12">
        <v>237500</v>
      </c>
      <c r="H35" s="19">
        <f t="shared" ref="H35" si="21">E35+F35+G35</f>
        <v>301300</v>
      </c>
      <c r="I35" s="9">
        <f t="shared" ref="I35" si="22">D35+H35</f>
        <v>403100</v>
      </c>
      <c r="J35" s="12">
        <v>2012100</v>
      </c>
      <c r="K35" s="12">
        <v>50000</v>
      </c>
      <c r="L35" s="12">
        <v>500000</v>
      </c>
      <c r="M35" s="20">
        <f t="shared" si="6"/>
        <v>-1710800</v>
      </c>
      <c r="N35" s="13">
        <f t="shared" ref="N35" si="23">D35-K35</f>
        <v>51800</v>
      </c>
      <c r="O35" s="16">
        <v>51800</v>
      </c>
      <c r="P35" s="10">
        <f t="shared" si="20"/>
        <v>0</v>
      </c>
    </row>
    <row r="36" spans="1:16" s="14" customFormat="1" ht="15.75" customHeight="1" x14ac:dyDescent="0.25">
      <c r="A36" s="17">
        <v>46045</v>
      </c>
      <c r="B36" s="17" t="s">
        <v>5</v>
      </c>
      <c r="C36" s="18">
        <v>527</v>
      </c>
      <c r="D36" s="12">
        <v>250500</v>
      </c>
      <c r="E36" s="12">
        <v>215800</v>
      </c>
      <c r="F36" s="12">
        <v>0</v>
      </c>
      <c r="G36" s="12">
        <v>33000</v>
      </c>
      <c r="H36" s="19">
        <f t="shared" ref="H36:H49" si="24">E36+F36+G36</f>
        <v>248800</v>
      </c>
      <c r="I36" s="9">
        <f t="shared" ref="I36:I49" si="25">D36+H36</f>
        <v>499300</v>
      </c>
      <c r="J36" s="12">
        <v>0</v>
      </c>
      <c r="K36" s="12">
        <v>0</v>
      </c>
      <c r="L36" s="12">
        <v>0</v>
      </c>
      <c r="M36" s="20">
        <f t="shared" si="6"/>
        <v>248800</v>
      </c>
      <c r="N36" s="13">
        <f t="shared" ref="N36:N47" si="26">D36-K36</f>
        <v>250500</v>
      </c>
      <c r="O36" s="16">
        <v>250500</v>
      </c>
      <c r="P36" s="10">
        <f t="shared" si="20"/>
        <v>0</v>
      </c>
    </row>
    <row r="37" spans="1:16" s="14" customFormat="1" ht="15.75" customHeight="1" x14ac:dyDescent="0.25">
      <c r="A37" s="17">
        <v>46046</v>
      </c>
      <c r="B37" s="17" t="s">
        <v>4</v>
      </c>
      <c r="C37" s="18">
        <v>528</v>
      </c>
      <c r="D37" s="12">
        <v>367700</v>
      </c>
      <c r="E37" s="12">
        <v>411400</v>
      </c>
      <c r="F37" s="12">
        <v>110000</v>
      </c>
      <c r="G37" s="12">
        <v>329500</v>
      </c>
      <c r="H37" s="19">
        <f t="shared" si="24"/>
        <v>850900</v>
      </c>
      <c r="I37" s="9">
        <f t="shared" si="25"/>
        <v>1218600</v>
      </c>
      <c r="J37" s="12">
        <v>0</v>
      </c>
      <c r="K37" s="12">
        <v>95000</v>
      </c>
      <c r="L37" s="12">
        <v>80000</v>
      </c>
      <c r="M37" s="20">
        <f t="shared" si="6"/>
        <v>850900</v>
      </c>
      <c r="N37" s="13">
        <f t="shared" si="26"/>
        <v>272700</v>
      </c>
      <c r="O37" s="16">
        <v>272700</v>
      </c>
      <c r="P37" s="10">
        <f t="shared" si="20"/>
        <v>0</v>
      </c>
    </row>
    <row r="38" spans="1:16" s="14" customFormat="1" ht="15.75" customHeight="1" x14ac:dyDescent="0.25">
      <c r="A38" s="17">
        <v>46047</v>
      </c>
      <c r="B38" s="17" t="s">
        <v>5</v>
      </c>
      <c r="C38" s="18">
        <v>529</v>
      </c>
      <c r="D38" s="12">
        <v>543400</v>
      </c>
      <c r="E38" s="12">
        <v>129000</v>
      </c>
      <c r="F38" s="12">
        <v>58000</v>
      </c>
      <c r="G38" s="12">
        <v>60000</v>
      </c>
      <c r="H38" s="19">
        <f t="shared" si="24"/>
        <v>247000</v>
      </c>
      <c r="I38" s="9">
        <f t="shared" si="25"/>
        <v>790400</v>
      </c>
      <c r="J38" s="12">
        <v>0</v>
      </c>
      <c r="K38" s="12">
        <v>0</v>
      </c>
      <c r="L38" s="12">
        <v>0</v>
      </c>
      <c r="M38" s="20">
        <f t="shared" si="6"/>
        <v>247000</v>
      </c>
      <c r="N38" s="13">
        <f t="shared" si="26"/>
        <v>543400</v>
      </c>
      <c r="O38" s="16">
        <v>543500</v>
      </c>
      <c r="P38" s="10">
        <f t="shared" si="20"/>
        <v>100</v>
      </c>
    </row>
    <row r="39" spans="1:16" s="14" customFormat="1" ht="15.75" customHeight="1" x14ac:dyDescent="0.25">
      <c r="A39" s="17">
        <v>46048</v>
      </c>
      <c r="B39" s="17" t="s">
        <v>5</v>
      </c>
      <c r="C39" s="18">
        <v>530</v>
      </c>
      <c r="D39" s="12">
        <v>556600</v>
      </c>
      <c r="E39" s="12">
        <v>14500</v>
      </c>
      <c r="F39" s="12">
        <v>57000</v>
      </c>
      <c r="G39" s="12">
        <v>81800</v>
      </c>
      <c r="H39" s="19">
        <f t="shared" si="24"/>
        <v>153300</v>
      </c>
      <c r="I39" s="9">
        <f t="shared" si="25"/>
        <v>709900</v>
      </c>
      <c r="J39" s="12">
        <v>0</v>
      </c>
      <c r="K39" s="12">
        <v>0</v>
      </c>
      <c r="L39" s="12">
        <v>0</v>
      </c>
      <c r="M39" s="20">
        <f t="shared" si="6"/>
        <v>153300</v>
      </c>
      <c r="N39" s="13">
        <f t="shared" si="26"/>
        <v>556600</v>
      </c>
      <c r="O39" s="16">
        <v>556600</v>
      </c>
      <c r="P39" s="10">
        <f t="shared" si="20"/>
        <v>0</v>
      </c>
    </row>
    <row r="40" spans="1:16" s="14" customFormat="1" ht="15.75" customHeight="1" x14ac:dyDescent="0.25">
      <c r="A40" s="17">
        <v>46048</v>
      </c>
      <c r="B40" s="17" t="s">
        <v>4</v>
      </c>
      <c r="C40" s="18">
        <v>531</v>
      </c>
      <c r="D40" s="12">
        <v>418300</v>
      </c>
      <c r="E40" s="12">
        <v>82000</v>
      </c>
      <c r="F40" s="12">
        <v>37000</v>
      </c>
      <c r="G40" s="12">
        <v>63800</v>
      </c>
      <c r="H40" s="19">
        <f t="shared" si="24"/>
        <v>182800</v>
      </c>
      <c r="I40" s="9">
        <f t="shared" si="25"/>
        <v>601100</v>
      </c>
      <c r="J40" s="12">
        <v>0</v>
      </c>
      <c r="K40" s="12">
        <v>0</v>
      </c>
      <c r="L40" s="12">
        <v>0</v>
      </c>
      <c r="M40" s="20">
        <f t="shared" si="6"/>
        <v>182800</v>
      </c>
      <c r="N40" s="13">
        <f t="shared" si="26"/>
        <v>418300</v>
      </c>
      <c r="O40" s="16">
        <v>418300</v>
      </c>
      <c r="P40" s="10">
        <f t="shared" ref="P40:P47" si="27">(N40-O40)*(-1)</f>
        <v>0</v>
      </c>
    </row>
    <row r="41" spans="1:16" s="14" customFormat="1" ht="15.75" customHeight="1" x14ac:dyDescent="0.25">
      <c r="A41" s="17">
        <v>46049</v>
      </c>
      <c r="B41" s="17" t="s">
        <v>5</v>
      </c>
      <c r="C41" s="18">
        <v>532</v>
      </c>
      <c r="D41" s="12">
        <v>223800</v>
      </c>
      <c r="E41" s="12">
        <v>118500</v>
      </c>
      <c r="F41" s="12">
        <v>0</v>
      </c>
      <c r="G41" s="12">
        <v>65500</v>
      </c>
      <c r="H41" s="19">
        <f t="shared" si="24"/>
        <v>184000</v>
      </c>
      <c r="I41" s="9">
        <f t="shared" si="25"/>
        <v>407800</v>
      </c>
      <c r="J41" s="12">
        <v>0</v>
      </c>
      <c r="K41" s="12">
        <v>0</v>
      </c>
      <c r="L41" s="12">
        <v>0</v>
      </c>
      <c r="M41" s="20">
        <f t="shared" si="6"/>
        <v>184000</v>
      </c>
      <c r="N41" s="13">
        <f t="shared" si="26"/>
        <v>223800</v>
      </c>
      <c r="O41" s="16">
        <v>223800</v>
      </c>
      <c r="P41" s="10">
        <f t="shared" si="27"/>
        <v>0</v>
      </c>
    </row>
    <row r="42" spans="1:16" s="14" customFormat="1" ht="15.75" customHeight="1" x14ac:dyDescent="0.25">
      <c r="A42" s="17">
        <v>46049</v>
      </c>
      <c r="B42" s="17" t="s">
        <v>4</v>
      </c>
      <c r="C42" s="18">
        <v>533</v>
      </c>
      <c r="D42" s="12">
        <v>306800</v>
      </c>
      <c r="E42" s="12">
        <v>293800</v>
      </c>
      <c r="F42" s="12">
        <v>0</v>
      </c>
      <c r="G42" s="12">
        <v>112100</v>
      </c>
      <c r="H42" s="19">
        <f t="shared" si="24"/>
        <v>405900</v>
      </c>
      <c r="I42" s="9">
        <f t="shared" si="25"/>
        <v>712700</v>
      </c>
      <c r="J42" s="12">
        <f>959872+525111+1061247</f>
        <v>2546230</v>
      </c>
      <c r="K42" s="12">
        <v>0</v>
      </c>
      <c r="L42" s="12">
        <v>2267215</v>
      </c>
      <c r="M42" s="20">
        <f t="shared" si="6"/>
        <v>-2140330</v>
      </c>
      <c r="N42" s="13">
        <f t="shared" si="26"/>
        <v>306800</v>
      </c>
      <c r="O42" s="16">
        <v>306800</v>
      </c>
      <c r="P42" s="10">
        <f t="shared" si="27"/>
        <v>0</v>
      </c>
    </row>
    <row r="43" spans="1:16" s="14" customFormat="1" ht="15.75" customHeight="1" x14ac:dyDescent="0.25">
      <c r="A43" s="17">
        <v>46050</v>
      </c>
      <c r="B43" s="17" t="s">
        <v>5</v>
      </c>
      <c r="C43" s="18">
        <v>534</v>
      </c>
      <c r="D43" s="12">
        <v>166300</v>
      </c>
      <c r="E43" s="12">
        <v>0</v>
      </c>
      <c r="F43" s="12">
        <v>0</v>
      </c>
      <c r="G43" s="12">
        <v>40500</v>
      </c>
      <c r="H43" s="19">
        <f t="shared" si="24"/>
        <v>40500</v>
      </c>
      <c r="I43" s="9">
        <f t="shared" si="25"/>
        <v>206800</v>
      </c>
      <c r="J43" s="12">
        <v>0</v>
      </c>
      <c r="K43" s="12">
        <v>0</v>
      </c>
      <c r="L43" s="12">
        <v>0</v>
      </c>
      <c r="M43" s="20">
        <f t="shared" si="6"/>
        <v>40500</v>
      </c>
      <c r="N43" s="13">
        <f t="shared" si="26"/>
        <v>166300</v>
      </c>
      <c r="O43" s="16">
        <v>166300</v>
      </c>
      <c r="P43" s="10">
        <f t="shared" si="27"/>
        <v>0</v>
      </c>
    </row>
    <row r="44" spans="1:16" s="14" customFormat="1" ht="15.75" customHeight="1" x14ac:dyDescent="0.25">
      <c r="A44" s="17">
        <v>46050</v>
      </c>
      <c r="B44" s="17" t="s">
        <v>4</v>
      </c>
      <c r="C44" s="18">
        <v>535</v>
      </c>
      <c r="D44" s="12">
        <v>381400</v>
      </c>
      <c r="E44" s="12">
        <v>121000</v>
      </c>
      <c r="F44" s="12">
        <v>95000</v>
      </c>
      <c r="G44" s="12">
        <v>28000</v>
      </c>
      <c r="H44" s="19">
        <f t="shared" si="24"/>
        <v>244000</v>
      </c>
      <c r="I44" s="9">
        <f t="shared" si="25"/>
        <v>625400</v>
      </c>
      <c r="J44" s="12">
        <v>342922</v>
      </c>
      <c r="K44" s="12">
        <v>0</v>
      </c>
      <c r="L44" s="12">
        <v>0</v>
      </c>
      <c r="M44" s="20">
        <f t="shared" si="6"/>
        <v>-98922</v>
      </c>
      <c r="N44" s="13">
        <f t="shared" si="26"/>
        <v>381400</v>
      </c>
      <c r="O44" s="16">
        <v>381400</v>
      </c>
      <c r="P44" s="10">
        <f t="shared" si="27"/>
        <v>0</v>
      </c>
    </row>
    <row r="45" spans="1:16" s="14" customFormat="1" ht="15.75" customHeight="1" x14ac:dyDescent="0.25">
      <c r="A45" s="17">
        <v>46051</v>
      </c>
      <c r="B45" s="17" t="s">
        <v>5</v>
      </c>
      <c r="C45" s="18">
        <v>536</v>
      </c>
      <c r="D45" s="12">
        <v>194400</v>
      </c>
      <c r="E45" s="12">
        <v>15000</v>
      </c>
      <c r="F45" s="12">
        <v>0</v>
      </c>
      <c r="G45" s="12">
        <v>46900</v>
      </c>
      <c r="H45" s="19">
        <f t="shared" si="24"/>
        <v>61900</v>
      </c>
      <c r="I45" s="9">
        <f t="shared" si="25"/>
        <v>256300</v>
      </c>
      <c r="J45" s="12">
        <v>0</v>
      </c>
      <c r="K45" s="12">
        <v>12000</v>
      </c>
      <c r="L45" s="12">
        <v>90000</v>
      </c>
      <c r="M45" s="20">
        <f t="shared" si="6"/>
        <v>61900</v>
      </c>
      <c r="N45" s="13">
        <f t="shared" si="26"/>
        <v>182400</v>
      </c>
      <c r="O45" s="16">
        <v>182400</v>
      </c>
      <c r="P45" s="10">
        <f t="shared" si="27"/>
        <v>0</v>
      </c>
    </row>
    <row r="46" spans="1:16" s="14" customFormat="1" ht="15.75" customHeight="1" x14ac:dyDescent="0.25">
      <c r="A46" s="17">
        <v>46051</v>
      </c>
      <c r="B46" s="17" t="s">
        <v>4</v>
      </c>
      <c r="C46" s="18">
        <v>537</v>
      </c>
      <c r="D46" s="12">
        <v>375100</v>
      </c>
      <c r="E46" s="12">
        <v>70500</v>
      </c>
      <c r="F46" s="12">
        <v>0</v>
      </c>
      <c r="G46" s="12">
        <v>7000</v>
      </c>
      <c r="H46" s="19">
        <f>E46+F46+G46</f>
        <v>77500</v>
      </c>
      <c r="I46" s="9">
        <f t="shared" si="25"/>
        <v>452600</v>
      </c>
      <c r="J46" s="12">
        <v>0</v>
      </c>
      <c r="K46" s="12">
        <v>100000</v>
      </c>
      <c r="L46" s="12">
        <v>0</v>
      </c>
      <c r="M46" s="20">
        <f t="shared" si="6"/>
        <v>77500</v>
      </c>
      <c r="N46" s="13">
        <f t="shared" si="26"/>
        <v>275100</v>
      </c>
      <c r="O46" s="16">
        <v>275400</v>
      </c>
      <c r="P46" s="10">
        <f t="shared" si="27"/>
        <v>300</v>
      </c>
    </row>
    <row r="47" spans="1:16" s="14" customFormat="1" ht="15.75" customHeight="1" x14ac:dyDescent="0.25">
      <c r="A47" s="17">
        <v>46052</v>
      </c>
      <c r="B47" s="17" t="s">
        <v>5</v>
      </c>
      <c r="C47" s="18">
        <v>538</v>
      </c>
      <c r="D47" s="12">
        <v>124000</v>
      </c>
      <c r="E47" s="12">
        <v>46000</v>
      </c>
      <c r="F47" s="12">
        <v>0</v>
      </c>
      <c r="G47" s="12">
        <v>40900</v>
      </c>
      <c r="H47" s="19">
        <f>E47+F47+G47</f>
        <v>86900</v>
      </c>
      <c r="I47" s="9">
        <f t="shared" si="25"/>
        <v>210900</v>
      </c>
      <c r="J47" s="12">
        <v>19900</v>
      </c>
      <c r="K47" s="12">
        <v>0</v>
      </c>
      <c r="L47" s="12">
        <f>144000+80400</f>
        <v>224400</v>
      </c>
      <c r="M47" s="20">
        <f t="shared" si="6"/>
        <v>67000</v>
      </c>
      <c r="N47" s="13">
        <f t="shared" si="26"/>
        <v>124000</v>
      </c>
      <c r="O47" s="16">
        <v>124000</v>
      </c>
      <c r="P47" s="10">
        <f t="shared" si="27"/>
        <v>0</v>
      </c>
    </row>
    <row r="48" spans="1:16" s="14" customFormat="1" ht="15.75" customHeight="1" x14ac:dyDescent="0.25">
      <c r="A48" s="17">
        <v>46052</v>
      </c>
      <c r="B48" s="17" t="s">
        <v>4</v>
      </c>
      <c r="C48" s="18">
        <v>539</v>
      </c>
      <c r="D48" s="12">
        <v>508700</v>
      </c>
      <c r="E48" s="12">
        <v>367500</v>
      </c>
      <c r="F48" s="12">
        <v>94300</v>
      </c>
      <c r="G48" s="12">
        <v>124200</v>
      </c>
      <c r="H48" s="19">
        <f t="shared" si="24"/>
        <v>586000</v>
      </c>
      <c r="I48" s="9">
        <f>D48+H48</f>
        <v>1094700</v>
      </c>
      <c r="J48" s="12">
        <v>0</v>
      </c>
      <c r="K48" s="12">
        <v>139700</v>
      </c>
      <c r="L48" s="12">
        <f>130000+70000+30000</f>
        <v>230000</v>
      </c>
      <c r="M48" s="20">
        <f t="shared" si="6"/>
        <v>586000</v>
      </c>
      <c r="N48" s="13">
        <f t="shared" ref="N48:N49" si="28">D48-K48</f>
        <v>369000</v>
      </c>
      <c r="O48" s="16">
        <v>369000</v>
      </c>
      <c r="P48" s="10">
        <f t="shared" ref="P48:P49" si="29">(N48-O48)*(-1)</f>
        <v>0</v>
      </c>
    </row>
    <row r="49" spans="1:16" s="14" customFormat="1" ht="15.75" customHeight="1" x14ac:dyDescent="0.25">
      <c r="A49" s="17">
        <v>46053</v>
      </c>
      <c r="B49" s="17" t="s">
        <v>5</v>
      </c>
      <c r="C49" s="18">
        <v>540</v>
      </c>
      <c r="D49" s="12">
        <v>256950</v>
      </c>
      <c r="E49" s="12">
        <v>148100</v>
      </c>
      <c r="F49" s="12">
        <v>52300</v>
      </c>
      <c r="G49" s="12">
        <v>381900</v>
      </c>
      <c r="H49" s="19">
        <f t="shared" si="24"/>
        <v>582300</v>
      </c>
      <c r="I49" s="9">
        <f t="shared" si="25"/>
        <v>839250</v>
      </c>
      <c r="J49" s="12">
        <v>0</v>
      </c>
      <c r="K49" s="12">
        <f>69984-55000</f>
        <v>14984</v>
      </c>
      <c r="L49" s="12">
        <v>40000</v>
      </c>
      <c r="M49" s="20">
        <f t="shared" si="6"/>
        <v>582300</v>
      </c>
      <c r="N49" s="13">
        <f t="shared" si="28"/>
        <v>241966</v>
      </c>
      <c r="O49" s="16">
        <v>242700</v>
      </c>
      <c r="P49" s="10">
        <f t="shared" si="29"/>
        <v>734</v>
      </c>
    </row>
    <row r="50" spans="1:16" s="14" customFormat="1" ht="15.75" customHeight="1" x14ac:dyDescent="0.25">
      <c r="A50" s="17">
        <v>46054</v>
      </c>
      <c r="B50" s="17" t="s">
        <v>4</v>
      </c>
      <c r="C50" s="18">
        <v>541</v>
      </c>
      <c r="D50" s="12">
        <v>303300</v>
      </c>
      <c r="E50" s="12">
        <v>372900</v>
      </c>
      <c r="F50" s="12">
        <v>18000</v>
      </c>
      <c r="G50" s="12">
        <v>174698</v>
      </c>
      <c r="H50" s="19">
        <f t="shared" ref="H50:H70" si="30">E50+F50+G50</f>
        <v>565598</v>
      </c>
      <c r="I50" s="9">
        <f t="shared" ref="I50:I70" si="31">D50+H50</f>
        <v>868898</v>
      </c>
      <c r="J50" s="12">
        <v>0</v>
      </c>
      <c r="K50" s="12">
        <v>0</v>
      </c>
      <c r="L50" s="12">
        <v>110000</v>
      </c>
      <c r="M50" s="20">
        <f t="shared" si="6"/>
        <v>565598</v>
      </c>
      <c r="N50" s="13">
        <f t="shared" ref="N50:N77" si="32">D50-K50</f>
        <v>303300</v>
      </c>
      <c r="O50" s="16">
        <v>303300</v>
      </c>
      <c r="P50" s="10">
        <f t="shared" ref="P50:P113" si="33">(N50-O50)*(-1)</f>
        <v>0</v>
      </c>
    </row>
    <row r="51" spans="1:16" s="14" customFormat="1" ht="15.75" customHeight="1" x14ac:dyDescent="0.25">
      <c r="A51" s="17">
        <v>46055</v>
      </c>
      <c r="B51" s="17" t="s">
        <v>4</v>
      </c>
      <c r="C51" s="18">
        <v>542</v>
      </c>
      <c r="D51" s="12">
        <v>102700</v>
      </c>
      <c r="E51" s="12">
        <v>97200</v>
      </c>
      <c r="F51" s="12">
        <v>23000</v>
      </c>
      <c r="G51" s="12">
        <v>0</v>
      </c>
      <c r="H51" s="19">
        <f t="shared" si="30"/>
        <v>120200</v>
      </c>
      <c r="I51" s="9">
        <f t="shared" si="31"/>
        <v>222900</v>
      </c>
      <c r="J51" s="12">
        <v>1500000</v>
      </c>
      <c r="K51" s="12">
        <v>0</v>
      </c>
      <c r="L51" s="12">
        <f>1500000+68000+190000</f>
        <v>1758000</v>
      </c>
      <c r="M51" s="20">
        <f t="shared" si="6"/>
        <v>-1379800</v>
      </c>
      <c r="N51" s="13">
        <f t="shared" si="32"/>
        <v>102700</v>
      </c>
      <c r="O51" s="16">
        <v>102700</v>
      </c>
      <c r="P51" s="10">
        <f t="shared" si="33"/>
        <v>0</v>
      </c>
    </row>
    <row r="52" spans="1:16" s="14" customFormat="1" ht="15.75" customHeight="1" x14ac:dyDescent="0.25">
      <c r="A52" s="17">
        <v>46055</v>
      </c>
      <c r="B52" s="17" t="s">
        <v>5</v>
      </c>
      <c r="C52" s="18">
        <v>543</v>
      </c>
      <c r="D52" s="12">
        <v>243800</v>
      </c>
      <c r="E52" s="12">
        <v>125600</v>
      </c>
      <c r="F52" s="12">
        <v>1000</v>
      </c>
      <c r="G52" s="12">
        <v>30500</v>
      </c>
      <c r="H52" s="19">
        <f t="shared" si="30"/>
        <v>157100</v>
      </c>
      <c r="I52" s="9">
        <f t="shared" si="31"/>
        <v>400900</v>
      </c>
      <c r="J52" s="12">
        <v>0</v>
      </c>
      <c r="K52" s="12">
        <v>0</v>
      </c>
      <c r="L52" s="12">
        <v>0</v>
      </c>
      <c r="M52" s="20">
        <f t="shared" si="6"/>
        <v>157100</v>
      </c>
      <c r="N52" s="13">
        <f t="shared" si="32"/>
        <v>243800</v>
      </c>
      <c r="O52" s="16">
        <v>244000</v>
      </c>
      <c r="P52" s="10">
        <f t="shared" si="33"/>
        <v>200</v>
      </c>
    </row>
    <row r="53" spans="1:16" s="14" customFormat="1" ht="15.75" customHeight="1" x14ac:dyDescent="0.25">
      <c r="A53" s="17">
        <v>46056</v>
      </c>
      <c r="B53" s="17" t="s">
        <v>4</v>
      </c>
      <c r="C53" s="18">
        <v>544</v>
      </c>
      <c r="D53" s="12">
        <v>421900</v>
      </c>
      <c r="E53" s="12">
        <v>74500</v>
      </c>
      <c r="F53" s="12">
        <v>5500</v>
      </c>
      <c r="G53" s="12">
        <v>130000</v>
      </c>
      <c r="H53" s="19">
        <f t="shared" si="30"/>
        <v>210000</v>
      </c>
      <c r="I53" s="9">
        <f t="shared" si="31"/>
        <v>631900</v>
      </c>
      <c r="J53" s="12">
        <v>0</v>
      </c>
      <c r="K53" s="12">
        <v>116000</v>
      </c>
      <c r="L53" s="12">
        <v>0</v>
      </c>
      <c r="M53" s="20">
        <f t="shared" si="6"/>
        <v>210000</v>
      </c>
      <c r="N53" s="13">
        <f t="shared" si="32"/>
        <v>305900</v>
      </c>
      <c r="O53" s="16">
        <v>305900</v>
      </c>
      <c r="P53" s="10">
        <f t="shared" si="33"/>
        <v>0</v>
      </c>
    </row>
    <row r="54" spans="1:16" s="14" customFormat="1" ht="15.75" customHeight="1" x14ac:dyDescent="0.25">
      <c r="A54" s="17">
        <v>46056</v>
      </c>
      <c r="B54" s="17" t="s">
        <v>5</v>
      </c>
      <c r="C54" s="18">
        <v>545</v>
      </c>
      <c r="D54" s="12">
        <v>375100</v>
      </c>
      <c r="E54" s="12">
        <v>12000</v>
      </c>
      <c r="F54" s="12">
        <v>123100</v>
      </c>
      <c r="G54" s="12">
        <v>199200</v>
      </c>
      <c r="H54" s="19">
        <f t="shared" si="30"/>
        <v>334300</v>
      </c>
      <c r="I54" s="9">
        <f t="shared" si="31"/>
        <v>709400</v>
      </c>
      <c r="J54" s="12">
        <v>0</v>
      </c>
      <c r="K54" s="12">
        <v>0</v>
      </c>
      <c r="L54" s="12">
        <v>0</v>
      </c>
      <c r="M54" s="20">
        <f t="shared" si="6"/>
        <v>334300</v>
      </c>
      <c r="N54" s="13">
        <f t="shared" si="32"/>
        <v>375100</v>
      </c>
      <c r="O54" s="16">
        <v>375100</v>
      </c>
      <c r="P54" s="10">
        <v>0</v>
      </c>
    </row>
    <row r="55" spans="1:16" s="14" customFormat="1" ht="15.75" customHeight="1" x14ac:dyDescent="0.25">
      <c r="A55" s="17">
        <v>46057</v>
      </c>
      <c r="B55" s="17" t="s">
        <v>4</v>
      </c>
      <c r="C55" s="18">
        <v>546</v>
      </c>
      <c r="D55" s="12">
        <v>310800</v>
      </c>
      <c r="E55" s="12">
        <v>90200</v>
      </c>
      <c r="F55" s="12">
        <v>27000</v>
      </c>
      <c r="G55" s="12">
        <v>124200</v>
      </c>
      <c r="H55" s="19">
        <f t="shared" si="30"/>
        <v>241400</v>
      </c>
      <c r="I55" s="9">
        <f t="shared" si="31"/>
        <v>552200</v>
      </c>
      <c r="J55" s="12">
        <v>0</v>
      </c>
      <c r="K55" s="12">
        <v>0</v>
      </c>
      <c r="L55" s="12">
        <v>275000</v>
      </c>
      <c r="M55" s="20">
        <f t="shared" si="6"/>
        <v>241400</v>
      </c>
      <c r="N55" s="13">
        <f t="shared" si="32"/>
        <v>310800</v>
      </c>
      <c r="O55" s="16">
        <v>310800</v>
      </c>
      <c r="P55" s="10">
        <v>0</v>
      </c>
    </row>
    <row r="56" spans="1:16" s="14" customFormat="1" ht="15.75" customHeight="1" x14ac:dyDescent="0.25">
      <c r="A56" s="17">
        <v>46057</v>
      </c>
      <c r="B56" s="17" t="s">
        <v>5</v>
      </c>
      <c r="C56" s="18">
        <v>547</v>
      </c>
      <c r="D56" s="12">
        <v>211400</v>
      </c>
      <c r="E56" s="12">
        <v>592300</v>
      </c>
      <c r="F56" s="12">
        <v>98300</v>
      </c>
      <c r="G56" s="12">
        <v>57500</v>
      </c>
      <c r="H56" s="19">
        <f t="shared" si="30"/>
        <v>748100</v>
      </c>
      <c r="I56" s="9">
        <f t="shared" si="31"/>
        <v>959500</v>
      </c>
      <c r="J56" s="12">
        <v>0</v>
      </c>
      <c r="K56" s="12">
        <v>0</v>
      </c>
      <c r="L56" s="12">
        <v>0</v>
      </c>
      <c r="M56" s="20">
        <f t="shared" si="6"/>
        <v>748100</v>
      </c>
      <c r="N56" s="13">
        <f t="shared" si="32"/>
        <v>211400</v>
      </c>
      <c r="O56" s="16">
        <v>211400</v>
      </c>
      <c r="P56" s="10">
        <v>0</v>
      </c>
    </row>
    <row r="57" spans="1:16" s="14" customFormat="1" ht="15.75" customHeight="1" x14ac:dyDescent="0.25">
      <c r="A57" s="17">
        <v>46058</v>
      </c>
      <c r="B57" s="17" t="s">
        <v>4</v>
      </c>
      <c r="C57" s="18">
        <v>548</v>
      </c>
      <c r="D57" s="12">
        <v>540700</v>
      </c>
      <c r="E57" s="12">
        <v>150000</v>
      </c>
      <c r="F57" s="12">
        <v>18000</v>
      </c>
      <c r="G57" s="12">
        <v>18500</v>
      </c>
      <c r="H57" s="19">
        <f t="shared" si="30"/>
        <v>186500</v>
      </c>
      <c r="I57" s="9">
        <f t="shared" si="31"/>
        <v>727200</v>
      </c>
      <c r="J57" s="12">
        <v>3000000</v>
      </c>
      <c r="K57" s="12">
        <v>115500</v>
      </c>
      <c r="L57" s="12">
        <v>0</v>
      </c>
      <c r="M57" s="20">
        <f t="shared" si="6"/>
        <v>-2813500</v>
      </c>
      <c r="N57" s="13">
        <f t="shared" si="32"/>
        <v>425200</v>
      </c>
      <c r="O57" s="16">
        <v>425200</v>
      </c>
      <c r="P57" s="10">
        <v>0</v>
      </c>
    </row>
    <row r="58" spans="1:16" s="14" customFormat="1" ht="15.75" customHeight="1" x14ac:dyDescent="0.25">
      <c r="A58" s="17">
        <v>46058</v>
      </c>
      <c r="B58" s="17" t="s">
        <v>5</v>
      </c>
      <c r="C58" s="18">
        <v>549</v>
      </c>
      <c r="D58" s="12">
        <v>331700</v>
      </c>
      <c r="E58" s="12">
        <v>166200</v>
      </c>
      <c r="F58" s="12">
        <v>3000</v>
      </c>
      <c r="G58" s="12">
        <v>70700</v>
      </c>
      <c r="H58" s="19">
        <f t="shared" si="30"/>
        <v>239900</v>
      </c>
      <c r="I58" s="9">
        <f t="shared" si="31"/>
        <v>571600</v>
      </c>
      <c r="J58" s="12">
        <v>0</v>
      </c>
      <c r="K58" s="12">
        <v>33309</v>
      </c>
      <c r="L58" s="12">
        <f>435000+32000</f>
        <v>467000</v>
      </c>
      <c r="M58" s="20">
        <f t="shared" si="6"/>
        <v>239900</v>
      </c>
      <c r="N58" s="13">
        <f t="shared" si="32"/>
        <v>298391</v>
      </c>
      <c r="O58" s="16">
        <v>298500</v>
      </c>
      <c r="P58" s="10">
        <f t="shared" si="33"/>
        <v>109</v>
      </c>
    </row>
    <row r="59" spans="1:16" s="14" customFormat="1" ht="15.75" customHeight="1" x14ac:dyDescent="0.25">
      <c r="A59" s="17">
        <v>46059</v>
      </c>
      <c r="B59" s="17" t="s">
        <v>4</v>
      </c>
      <c r="C59" s="18">
        <v>550</v>
      </c>
      <c r="D59" s="12">
        <v>5314531</v>
      </c>
      <c r="E59" s="12">
        <v>1067300</v>
      </c>
      <c r="F59" s="12">
        <v>190500</v>
      </c>
      <c r="G59" s="12">
        <v>342000</v>
      </c>
      <c r="H59" s="19">
        <f t="shared" si="30"/>
        <v>1599800</v>
      </c>
      <c r="I59" s="9">
        <f t="shared" si="31"/>
        <v>6914331</v>
      </c>
      <c r="J59" s="12">
        <v>0</v>
      </c>
      <c r="K59" s="12">
        <v>395081</v>
      </c>
      <c r="L59" s="12">
        <f>5000+22800+4000+40000</f>
        <v>71800</v>
      </c>
      <c r="M59" s="20">
        <f t="shared" si="6"/>
        <v>1599800</v>
      </c>
      <c r="N59" s="13">
        <f t="shared" si="32"/>
        <v>4919450</v>
      </c>
      <c r="O59" s="16">
        <v>4919450</v>
      </c>
      <c r="P59" s="10">
        <f t="shared" si="33"/>
        <v>0</v>
      </c>
    </row>
    <row r="60" spans="1:16" s="14" customFormat="1" ht="15.75" customHeight="1" x14ac:dyDescent="0.25">
      <c r="A60" s="17">
        <v>46060</v>
      </c>
      <c r="B60" s="17" t="s">
        <v>4</v>
      </c>
      <c r="C60" s="18">
        <v>551</v>
      </c>
      <c r="D60" s="12">
        <v>143000</v>
      </c>
      <c r="E60" s="12">
        <v>8000</v>
      </c>
      <c r="F60" s="12">
        <v>0</v>
      </c>
      <c r="G60" s="12">
        <v>0</v>
      </c>
      <c r="H60" s="19">
        <f t="shared" si="30"/>
        <v>8000</v>
      </c>
      <c r="I60" s="9">
        <f t="shared" si="31"/>
        <v>151000</v>
      </c>
      <c r="J60" s="12">
        <v>0</v>
      </c>
      <c r="K60" s="12">
        <v>0</v>
      </c>
      <c r="L60" s="12">
        <v>0</v>
      </c>
      <c r="M60" s="20">
        <f t="shared" si="6"/>
        <v>8000</v>
      </c>
      <c r="N60" s="13">
        <f t="shared" si="32"/>
        <v>143000</v>
      </c>
      <c r="O60" s="16">
        <v>143000</v>
      </c>
      <c r="P60" s="10">
        <f t="shared" si="33"/>
        <v>0</v>
      </c>
    </row>
    <row r="61" spans="1:16" s="14" customFormat="1" ht="15.75" customHeight="1" x14ac:dyDescent="0.25">
      <c r="A61" s="17">
        <v>46060</v>
      </c>
      <c r="B61" s="17" t="s">
        <v>5</v>
      </c>
      <c r="C61" s="18">
        <v>552</v>
      </c>
      <c r="D61" s="12">
        <v>392800</v>
      </c>
      <c r="E61" s="12">
        <v>218600</v>
      </c>
      <c r="F61" s="12">
        <v>0</v>
      </c>
      <c r="G61" s="12">
        <v>40300</v>
      </c>
      <c r="H61" s="19">
        <f t="shared" si="30"/>
        <v>258900</v>
      </c>
      <c r="I61" s="9">
        <f t="shared" si="31"/>
        <v>651700</v>
      </c>
      <c r="J61" s="12">
        <v>0</v>
      </c>
      <c r="K61" s="12">
        <v>17000</v>
      </c>
      <c r="L61" s="12">
        <f>40000+193900</f>
        <v>233900</v>
      </c>
      <c r="M61" s="20">
        <f t="shared" si="6"/>
        <v>258900</v>
      </c>
      <c r="N61" s="13">
        <f t="shared" si="32"/>
        <v>375800</v>
      </c>
      <c r="O61" s="16">
        <v>375800</v>
      </c>
      <c r="P61" s="10">
        <f t="shared" si="33"/>
        <v>0</v>
      </c>
    </row>
    <row r="62" spans="1:16" s="14" customFormat="1" ht="15.75" customHeight="1" x14ac:dyDescent="0.25">
      <c r="A62" s="17">
        <v>46060</v>
      </c>
      <c r="B62" s="17" t="s">
        <v>4</v>
      </c>
      <c r="C62" s="18">
        <v>553</v>
      </c>
      <c r="D62" s="12">
        <v>1745100</v>
      </c>
      <c r="E62" s="12">
        <v>923603</v>
      </c>
      <c r="F62" s="12">
        <v>0</v>
      </c>
      <c r="G62" s="12">
        <v>1160500</v>
      </c>
      <c r="H62" s="19">
        <f t="shared" si="30"/>
        <v>2084103</v>
      </c>
      <c r="I62" s="9">
        <f t="shared" si="31"/>
        <v>3829203</v>
      </c>
      <c r="J62" s="12">
        <v>0</v>
      </c>
      <c r="K62" s="12">
        <v>233500</v>
      </c>
      <c r="L62" s="12">
        <f>150000+100000+200000+50000+50000</f>
        <v>550000</v>
      </c>
      <c r="M62" s="20">
        <f t="shared" si="6"/>
        <v>2084103</v>
      </c>
      <c r="N62" s="13">
        <f t="shared" si="32"/>
        <v>1511600</v>
      </c>
      <c r="O62" s="16">
        <v>1511600</v>
      </c>
      <c r="P62" s="10">
        <f t="shared" si="33"/>
        <v>0</v>
      </c>
    </row>
    <row r="63" spans="1:16" s="14" customFormat="1" ht="15.75" customHeight="1" x14ac:dyDescent="0.25">
      <c r="A63" s="17">
        <v>46061</v>
      </c>
      <c r="B63" s="17" t="s">
        <v>5</v>
      </c>
      <c r="C63" s="18">
        <v>554</v>
      </c>
      <c r="D63" s="12">
        <v>236400</v>
      </c>
      <c r="E63" s="12">
        <v>192000</v>
      </c>
      <c r="F63" s="12">
        <v>16600</v>
      </c>
      <c r="G63" s="12">
        <v>69500</v>
      </c>
      <c r="H63" s="19">
        <f t="shared" si="30"/>
        <v>278100</v>
      </c>
      <c r="I63" s="9">
        <f t="shared" si="31"/>
        <v>514500</v>
      </c>
      <c r="J63" s="12">
        <v>0</v>
      </c>
      <c r="K63" s="12">
        <v>0</v>
      </c>
      <c r="L63" s="12">
        <v>0</v>
      </c>
      <c r="M63" s="20">
        <f t="shared" si="6"/>
        <v>278100</v>
      </c>
      <c r="N63" s="13">
        <f t="shared" si="32"/>
        <v>236400</v>
      </c>
      <c r="O63" s="16">
        <v>236400</v>
      </c>
      <c r="P63" s="10">
        <f t="shared" si="33"/>
        <v>0</v>
      </c>
    </row>
    <row r="64" spans="1:16" s="14" customFormat="1" ht="15.75" customHeight="1" x14ac:dyDescent="0.25">
      <c r="A64" s="17">
        <v>46061</v>
      </c>
      <c r="B64" s="17" t="s">
        <v>4</v>
      </c>
      <c r="C64" s="18">
        <v>555</v>
      </c>
      <c r="D64" s="12">
        <v>243200</v>
      </c>
      <c r="E64" s="12">
        <v>179000</v>
      </c>
      <c r="F64" s="12">
        <v>0</v>
      </c>
      <c r="G64" s="12">
        <v>0</v>
      </c>
      <c r="H64" s="19">
        <f t="shared" si="30"/>
        <v>179000</v>
      </c>
      <c r="I64" s="9">
        <f t="shared" si="31"/>
        <v>422200</v>
      </c>
      <c r="J64" s="12">
        <v>0</v>
      </c>
      <c r="K64" s="12">
        <v>0</v>
      </c>
      <c r="L64" s="12">
        <v>63700</v>
      </c>
      <c r="M64" s="20">
        <f t="shared" si="6"/>
        <v>179000</v>
      </c>
      <c r="N64" s="13">
        <f t="shared" si="32"/>
        <v>243200</v>
      </c>
      <c r="O64" s="16">
        <v>243200</v>
      </c>
      <c r="P64" s="10">
        <f t="shared" si="33"/>
        <v>0</v>
      </c>
    </row>
    <row r="65" spans="1:16" s="14" customFormat="1" ht="15.75" customHeight="1" x14ac:dyDescent="0.25">
      <c r="A65" s="17">
        <v>46062</v>
      </c>
      <c r="B65" s="17" t="s">
        <v>5</v>
      </c>
      <c r="C65" s="18">
        <v>556</v>
      </c>
      <c r="D65" s="12">
        <v>502500</v>
      </c>
      <c r="E65" s="12">
        <v>132800</v>
      </c>
      <c r="F65" s="12">
        <v>0</v>
      </c>
      <c r="G65" s="12">
        <v>19000</v>
      </c>
      <c r="H65" s="19">
        <f t="shared" si="30"/>
        <v>151800</v>
      </c>
      <c r="I65" s="9">
        <f t="shared" si="31"/>
        <v>654300</v>
      </c>
      <c r="J65" s="12">
        <f>2229780+100000+652149+520562</f>
        <v>3502491</v>
      </c>
      <c r="K65" s="12">
        <v>195400</v>
      </c>
      <c r="L65" s="12">
        <f>90000+150000</f>
        <v>240000</v>
      </c>
      <c r="M65" s="20">
        <f t="shared" si="6"/>
        <v>-3350691</v>
      </c>
      <c r="N65" s="13">
        <f t="shared" si="32"/>
        <v>307100</v>
      </c>
      <c r="O65" s="16">
        <v>307100</v>
      </c>
      <c r="P65" s="10">
        <f t="shared" si="33"/>
        <v>0</v>
      </c>
    </row>
    <row r="66" spans="1:16" s="14" customFormat="1" ht="15.75" customHeight="1" x14ac:dyDescent="0.25">
      <c r="A66" s="17">
        <v>46062</v>
      </c>
      <c r="B66" s="17" t="s">
        <v>4</v>
      </c>
      <c r="C66" s="18">
        <v>557</v>
      </c>
      <c r="D66" s="12">
        <v>363700</v>
      </c>
      <c r="E66" s="12">
        <v>55000</v>
      </c>
      <c r="F66" s="12">
        <v>0</v>
      </c>
      <c r="G66" s="12">
        <v>112000</v>
      </c>
      <c r="H66" s="19">
        <f t="shared" si="30"/>
        <v>167000</v>
      </c>
      <c r="I66" s="9">
        <f t="shared" si="31"/>
        <v>530700</v>
      </c>
      <c r="J66" s="12">
        <v>0</v>
      </c>
      <c r="K66" s="12">
        <v>0</v>
      </c>
      <c r="L66" s="12">
        <v>188000</v>
      </c>
      <c r="M66" s="20">
        <f t="shared" si="6"/>
        <v>167000</v>
      </c>
      <c r="N66" s="13">
        <f t="shared" si="32"/>
        <v>363700</v>
      </c>
      <c r="O66" s="16">
        <v>363700</v>
      </c>
      <c r="P66" s="10">
        <f t="shared" si="33"/>
        <v>0</v>
      </c>
    </row>
    <row r="67" spans="1:16" s="14" customFormat="1" ht="15.75" customHeight="1" x14ac:dyDescent="0.25">
      <c r="A67" s="17" t="s">
        <v>138</v>
      </c>
      <c r="B67" s="17" t="s">
        <v>5</v>
      </c>
      <c r="C67" s="18">
        <v>558</v>
      </c>
      <c r="D67" s="12">
        <v>102000</v>
      </c>
      <c r="E67" s="12">
        <v>156300</v>
      </c>
      <c r="F67" s="12">
        <v>0</v>
      </c>
      <c r="G67" s="12">
        <v>56100</v>
      </c>
      <c r="H67" s="19">
        <f t="shared" si="30"/>
        <v>212400</v>
      </c>
      <c r="I67" s="9">
        <f t="shared" si="31"/>
        <v>314400</v>
      </c>
      <c r="J67" s="12">
        <v>0</v>
      </c>
      <c r="K67" s="12">
        <v>0</v>
      </c>
      <c r="L67" s="12">
        <v>0</v>
      </c>
      <c r="M67" s="20">
        <f t="shared" si="6"/>
        <v>212400</v>
      </c>
      <c r="N67" s="13">
        <f t="shared" si="32"/>
        <v>102000</v>
      </c>
      <c r="O67" s="16">
        <v>102000</v>
      </c>
      <c r="P67" s="10">
        <f t="shared" si="33"/>
        <v>0</v>
      </c>
    </row>
    <row r="68" spans="1:16" s="14" customFormat="1" ht="15.75" customHeight="1" x14ac:dyDescent="0.25">
      <c r="A68" s="17">
        <v>46063</v>
      </c>
      <c r="B68" s="17" t="s">
        <v>4</v>
      </c>
      <c r="C68" s="18">
        <v>559</v>
      </c>
      <c r="D68" s="12">
        <v>553500</v>
      </c>
      <c r="E68" s="12">
        <v>257500</v>
      </c>
      <c r="F68" s="12">
        <v>0</v>
      </c>
      <c r="G68" s="12">
        <v>276600</v>
      </c>
      <c r="H68" s="19">
        <f t="shared" si="30"/>
        <v>534100</v>
      </c>
      <c r="I68" s="9">
        <f t="shared" si="31"/>
        <v>1087600</v>
      </c>
      <c r="J68" s="12">
        <v>0</v>
      </c>
      <c r="K68" s="12">
        <v>0</v>
      </c>
      <c r="L68" s="12">
        <f>500000+238800+260000+164200+126300</f>
        <v>1289300</v>
      </c>
      <c r="M68" s="20">
        <f t="shared" ref="M68:M131" si="34">H68-J68</f>
        <v>534100</v>
      </c>
      <c r="N68" s="13">
        <f t="shared" si="32"/>
        <v>553500</v>
      </c>
      <c r="O68" s="16">
        <v>553500</v>
      </c>
      <c r="P68" s="10">
        <f t="shared" si="33"/>
        <v>0</v>
      </c>
    </row>
    <row r="69" spans="1:16" s="14" customFormat="1" ht="15.75" customHeight="1" x14ac:dyDescent="0.25">
      <c r="A69" s="17">
        <v>46064</v>
      </c>
      <c r="B69" s="17" t="s">
        <v>5</v>
      </c>
      <c r="C69" s="18">
        <v>560</v>
      </c>
      <c r="D69" s="12">
        <v>288200</v>
      </c>
      <c r="E69" s="12">
        <v>27000</v>
      </c>
      <c r="F69" s="12">
        <v>0</v>
      </c>
      <c r="G69" s="12">
        <v>52000</v>
      </c>
      <c r="H69" s="19">
        <f t="shared" si="30"/>
        <v>79000</v>
      </c>
      <c r="I69" s="9">
        <f t="shared" si="31"/>
        <v>367200</v>
      </c>
      <c r="J69" s="12">
        <v>0</v>
      </c>
      <c r="K69" s="12">
        <v>0</v>
      </c>
      <c r="L69" s="12">
        <v>0</v>
      </c>
      <c r="M69" s="20">
        <f t="shared" si="34"/>
        <v>79000</v>
      </c>
      <c r="N69" s="13">
        <f t="shared" si="32"/>
        <v>288200</v>
      </c>
      <c r="O69" s="16">
        <v>288200</v>
      </c>
      <c r="P69" s="10">
        <f t="shared" si="33"/>
        <v>0</v>
      </c>
    </row>
    <row r="70" spans="1:16" s="14" customFormat="1" ht="15.75" customHeight="1" x14ac:dyDescent="0.25">
      <c r="A70" s="17">
        <v>46064</v>
      </c>
      <c r="B70" s="17" t="s">
        <v>4</v>
      </c>
      <c r="C70" s="18">
        <v>561</v>
      </c>
      <c r="D70" s="12">
        <v>375200</v>
      </c>
      <c r="E70" s="12">
        <v>87000</v>
      </c>
      <c r="F70" s="12">
        <v>30000</v>
      </c>
      <c r="G70" s="12">
        <v>44000</v>
      </c>
      <c r="H70" s="19">
        <f t="shared" si="30"/>
        <v>161000</v>
      </c>
      <c r="I70" s="9">
        <f t="shared" si="31"/>
        <v>536200</v>
      </c>
      <c r="J70" s="12">
        <v>0</v>
      </c>
      <c r="K70" s="12">
        <v>0</v>
      </c>
      <c r="L70" s="12">
        <v>0</v>
      </c>
      <c r="M70" s="20">
        <f t="shared" si="34"/>
        <v>161000</v>
      </c>
      <c r="N70" s="13">
        <f t="shared" si="32"/>
        <v>375200</v>
      </c>
      <c r="O70" s="16">
        <v>375200</v>
      </c>
      <c r="P70" s="10">
        <f t="shared" si="33"/>
        <v>0</v>
      </c>
    </row>
    <row r="71" spans="1:16" s="14" customFormat="1" ht="15.75" customHeight="1" x14ac:dyDescent="0.25">
      <c r="A71" s="17">
        <v>46065</v>
      </c>
      <c r="B71" s="17" t="s">
        <v>5</v>
      </c>
      <c r="C71" s="18">
        <v>562</v>
      </c>
      <c r="D71" s="12">
        <v>205100</v>
      </c>
      <c r="E71" s="12">
        <v>58800</v>
      </c>
      <c r="F71" s="12">
        <v>6500</v>
      </c>
      <c r="G71" s="12">
        <v>54500</v>
      </c>
      <c r="H71" s="19">
        <f t="shared" ref="H71:H77" si="35">E71+F71+G71</f>
        <v>119800</v>
      </c>
      <c r="I71" s="9">
        <f t="shared" ref="I71:I77" si="36">D71+H71</f>
        <v>324900</v>
      </c>
      <c r="J71" s="12">
        <v>0</v>
      </c>
      <c r="K71" s="12">
        <v>0</v>
      </c>
      <c r="L71" s="12">
        <f>294000+914700+983600+1022000</f>
        <v>3214300</v>
      </c>
      <c r="M71" s="20">
        <f t="shared" si="34"/>
        <v>119800</v>
      </c>
      <c r="N71" s="13">
        <f t="shared" si="32"/>
        <v>205100</v>
      </c>
      <c r="O71" s="16">
        <v>205100</v>
      </c>
      <c r="P71" s="10">
        <f t="shared" si="33"/>
        <v>0</v>
      </c>
    </row>
    <row r="72" spans="1:16" s="14" customFormat="1" ht="15.75" customHeight="1" x14ac:dyDescent="0.25">
      <c r="A72" s="17">
        <v>46065</v>
      </c>
      <c r="B72" s="17" t="s">
        <v>4</v>
      </c>
      <c r="C72" s="18">
        <v>563</v>
      </c>
      <c r="D72" s="12">
        <v>245200</v>
      </c>
      <c r="E72" s="12">
        <v>179200</v>
      </c>
      <c r="F72" s="12">
        <v>22000</v>
      </c>
      <c r="G72" s="12">
        <v>230200</v>
      </c>
      <c r="H72" s="19">
        <f t="shared" si="35"/>
        <v>431400</v>
      </c>
      <c r="I72" s="9">
        <f t="shared" si="36"/>
        <v>676600</v>
      </c>
      <c r="J72" s="12">
        <v>0</v>
      </c>
      <c r="K72" s="12">
        <v>0</v>
      </c>
      <c r="L72" s="12">
        <v>0</v>
      </c>
      <c r="M72" s="20">
        <f t="shared" si="34"/>
        <v>431400</v>
      </c>
      <c r="N72" s="13">
        <f t="shared" si="32"/>
        <v>245200</v>
      </c>
      <c r="O72" s="16">
        <v>245200</v>
      </c>
      <c r="P72" s="10">
        <f t="shared" si="33"/>
        <v>0</v>
      </c>
    </row>
    <row r="73" spans="1:16" s="14" customFormat="1" ht="15.75" customHeight="1" x14ac:dyDescent="0.25">
      <c r="A73" s="17">
        <v>46066</v>
      </c>
      <c r="B73" s="17" t="s">
        <v>5</v>
      </c>
      <c r="C73" s="18">
        <v>564</v>
      </c>
      <c r="D73" s="12">
        <v>240900</v>
      </c>
      <c r="E73" s="12">
        <v>35000</v>
      </c>
      <c r="F73" s="12">
        <v>0</v>
      </c>
      <c r="G73" s="12">
        <v>41000</v>
      </c>
      <c r="H73" s="19">
        <f t="shared" si="35"/>
        <v>76000</v>
      </c>
      <c r="I73" s="9">
        <f t="shared" si="36"/>
        <v>316900</v>
      </c>
      <c r="J73" s="12">
        <v>0</v>
      </c>
      <c r="K73" s="12">
        <v>77200</v>
      </c>
      <c r="L73" s="12">
        <v>60000</v>
      </c>
      <c r="M73" s="20">
        <f t="shared" si="34"/>
        <v>76000</v>
      </c>
      <c r="N73" s="13">
        <f t="shared" si="32"/>
        <v>163700</v>
      </c>
      <c r="O73" s="16">
        <v>163700</v>
      </c>
      <c r="P73" s="10">
        <f t="shared" si="33"/>
        <v>0</v>
      </c>
    </row>
    <row r="74" spans="1:16" s="14" customFormat="1" ht="15.75" customHeight="1" x14ac:dyDescent="0.25">
      <c r="A74" s="17">
        <v>46066</v>
      </c>
      <c r="B74" s="17" t="s">
        <v>4</v>
      </c>
      <c r="C74" s="18">
        <v>565</v>
      </c>
      <c r="D74" s="12">
        <v>450700</v>
      </c>
      <c r="E74" s="12">
        <v>125100</v>
      </c>
      <c r="F74" s="12">
        <v>16500</v>
      </c>
      <c r="G74" s="12">
        <v>30500</v>
      </c>
      <c r="H74" s="19">
        <f t="shared" si="35"/>
        <v>172100</v>
      </c>
      <c r="I74" s="9">
        <f t="shared" si="36"/>
        <v>622800</v>
      </c>
      <c r="J74" s="12">
        <v>0</v>
      </c>
      <c r="K74" s="12">
        <v>0</v>
      </c>
      <c r="L74" s="12">
        <v>0</v>
      </c>
      <c r="M74" s="20">
        <f t="shared" si="34"/>
        <v>172100</v>
      </c>
      <c r="N74" s="13">
        <f t="shared" si="32"/>
        <v>450700</v>
      </c>
      <c r="O74" s="16">
        <v>451700</v>
      </c>
      <c r="P74" s="10">
        <f t="shared" si="33"/>
        <v>1000</v>
      </c>
    </row>
    <row r="75" spans="1:16" s="14" customFormat="1" ht="15.75" customHeight="1" x14ac:dyDescent="0.25">
      <c r="A75" s="17">
        <v>46067</v>
      </c>
      <c r="B75" s="17" t="s">
        <v>4</v>
      </c>
      <c r="C75" s="18">
        <v>566</v>
      </c>
      <c r="D75" s="12">
        <v>2264800</v>
      </c>
      <c r="E75" s="12">
        <v>821400</v>
      </c>
      <c r="F75" s="12">
        <v>289800</v>
      </c>
      <c r="G75" s="12">
        <v>421900</v>
      </c>
      <c r="H75" s="19">
        <f t="shared" si="35"/>
        <v>1533100</v>
      </c>
      <c r="I75" s="9">
        <f t="shared" si="36"/>
        <v>3797900</v>
      </c>
      <c r="J75" s="12">
        <v>0</v>
      </c>
      <c r="K75" s="12">
        <v>180500</v>
      </c>
      <c r="L75" s="12">
        <f>106500+72000</f>
        <v>178500</v>
      </c>
      <c r="M75" s="20">
        <f t="shared" si="34"/>
        <v>1533100</v>
      </c>
      <c r="N75" s="13">
        <f t="shared" si="32"/>
        <v>2084300</v>
      </c>
      <c r="O75" s="16">
        <v>2084300</v>
      </c>
      <c r="P75" s="10">
        <f t="shared" si="33"/>
        <v>0</v>
      </c>
    </row>
    <row r="76" spans="1:16" s="14" customFormat="1" ht="15.75" customHeight="1" x14ac:dyDescent="0.25">
      <c r="A76" s="17">
        <v>46371</v>
      </c>
      <c r="B76" s="21" t="s">
        <v>5</v>
      </c>
      <c r="C76" s="18">
        <v>567</v>
      </c>
      <c r="D76" s="66">
        <v>1392373</v>
      </c>
      <c r="E76" s="12">
        <v>300000</v>
      </c>
      <c r="F76" s="12">
        <v>0</v>
      </c>
      <c r="G76" s="12">
        <v>0</v>
      </c>
      <c r="H76" s="19">
        <f t="shared" si="35"/>
        <v>300000</v>
      </c>
      <c r="I76" s="9">
        <f t="shared" si="36"/>
        <v>1692373</v>
      </c>
      <c r="J76" s="12">
        <v>0</v>
      </c>
      <c r="K76" s="12">
        <v>0</v>
      </c>
      <c r="L76" s="12">
        <f>50000+20000</f>
        <v>70000</v>
      </c>
      <c r="M76" s="20">
        <f t="shared" si="34"/>
        <v>300000</v>
      </c>
      <c r="N76" s="13">
        <f t="shared" si="32"/>
        <v>1392373</v>
      </c>
      <c r="O76" s="16">
        <f>1502000-112400</f>
        <v>1389600</v>
      </c>
      <c r="P76" s="10">
        <f t="shared" si="33"/>
        <v>-2773</v>
      </c>
    </row>
    <row r="77" spans="1:16" s="14" customFormat="1" ht="15.75" customHeight="1" x14ac:dyDescent="0.25">
      <c r="A77" s="17">
        <v>46372</v>
      </c>
      <c r="B77" s="17" t="s">
        <v>4</v>
      </c>
      <c r="C77" s="18">
        <v>568</v>
      </c>
      <c r="D77" s="12">
        <v>112400</v>
      </c>
      <c r="E77" s="12">
        <v>94700</v>
      </c>
      <c r="F77" s="12">
        <v>0</v>
      </c>
      <c r="G77" s="12">
        <v>22800</v>
      </c>
      <c r="H77" s="19">
        <f t="shared" si="35"/>
        <v>117500</v>
      </c>
      <c r="I77" s="9">
        <f t="shared" si="36"/>
        <v>229900</v>
      </c>
      <c r="J77" s="12">
        <v>0</v>
      </c>
      <c r="K77" s="12">
        <v>0</v>
      </c>
      <c r="L77" s="12">
        <v>0</v>
      </c>
      <c r="M77" s="20">
        <f t="shared" si="34"/>
        <v>117500</v>
      </c>
      <c r="N77" s="13">
        <f t="shared" si="32"/>
        <v>112400</v>
      </c>
      <c r="O77" s="16">
        <v>112400</v>
      </c>
      <c r="P77" s="10">
        <f t="shared" si="33"/>
        <v>0</v>
      </c>
    </row>
    <row r="78" spans="1:16" s="14" customFormat="1" ht="15.75" customHeight="1" x14ac:dyDescent="0.25">
      <c r="A78" s="17">
        <v>46069</v>
      </c>
      <c r="B78" s="17" t="s">
        <v>4</v>
      </c>
      <c r="C78" s="18">
        <v>569</v>
      </c>
      <c r="D78" s="12">
        <v>723500</v>
      </c>
      <c r="E78" s="12">
        <v>394900</v>
      </c>
      <c r="F78" s="12">
        <v>0</v>
      </c>
      <c r="G78" s="12">
        <v>293800</v>
      </c>
      <c r="H78" s="19">
        <f t="shared" ref="H78:H79" si="37">E78+F78+G78</f>
        <v>688700</v>
      </c>
      <c r="I78" s="9">
        <f t="shared" ref="I78:I79" si="38">D78+H78</f>
        <v>1412200</v>
      </c>
      <c r="J78" s="12">
        <v>0</v>
      </c>
      <c r="K78" s="12">
        <v>83000</v>
      </c>
      <c r="L78" s="12">
        <v>0</v>
      </c>
      <c r="M78" s="20">
        <f t="shared" si="34"/>
        <v>688700</v>
      </c>
      <c r="N78" s="13">
        <f t="shared" ref="N78:N79" si="39">D78-K78</f>
        <v>640500</v>
      </c>
      <c r="O78" s="16">
        <v>640500</v>
      </c>
      <c r="P78" s="10">
        <f t="shared" si="33"/>
        <v>0</v>
      </c>
    </row>
    <row r="79" spans="1:16" s="14" customFormat="1" ht="15.75" customHeight="1" x14ac:dyDescent="0.25">
      <c r="A79" s="17">
        <v>46070</v>
      </c>
      <c r="B79" s="17" t="s">
        <v>5</v>
      </c>
      <c r="C79" s="18">
        <v>570</v>
      </c>
      <c r="D79" s="12">
        <v>596900</v>
      </c>
      <c r="E79" s="12">
        <v>210500</v>
      </c>
      <c r="F79" s="12">
        <v>78500</v>
      </c>
      <c r="G79" s="12">
        <v>50500</v>
      </c>
      <c r="H79" s="19">
        <f t="shared" si="37"/>
        <v>339500</v>
      </c>
      <c r="I79" s="9">
        <f t="shared" si="38"/>
        <v>936400</v>
      </c>
      <c r="J79" s="12">
        <v>0</v>
      </c>
      <c r="K79" s="12">
        <v>0</v>
      </c>
      <c r="L79" s="12">
        <v>0</v>
      </c>
      <c r="M79" s="20">
        <f t="shared" si="34"/>
        <v>339500</v>
      </c>
      <c r="N79" s="13">
        <f t="shared" si="39"/>
        <v>596900</v>
      </c>
      <c r="O79" s="16">
        <v>596900</v>
      </c>
      <c r="P79" s="10">
        <f t="shared" si="33"/>
        <v>0</v>
      </c>
    </row>
    <row r="80" spans="1:16" s="14" customFormat="1" ht="15.75" customHeight="1" x14ac:dyDescent="0.25">
      <c r="A80" s="17">
        <v>46071</v>
      </c>
      <c r="B80" s="17" t="s">
        <v>4</v>
      </c>
      <c r="C80" s="18">
        <v>571</v>
      </c>
      <c r="D80" s="12">
        <v>665500</v>
      </c>
      <c r="E80" s="12">
        <v>318000</v>
      </c>
      <c r="F80" s="12">
        <v>18000</v>
      </c>
      <c r="G80" s="12">
        <v>45800</v>
      </c>
      <c r="H80" s="19">
        <f t="shared" ref="H80:H128" si="40">E80+F80+G80</f>
        <v>381800</v>
      </c>
      <c r="I80" s="9">
        <f t="shared" ref="I80:I128" si="41">D80+H80</f>
        <v>1047300</v>
      </c>
      <c r="J80" s="12">
        <f>119400+3000000+1613860</f>
        <v>4733260</v>
      </c>
      <c r="K80" s="12">
        <v>0</v>
      </c>
      <c r="L80" s="12">
        <f>296300+8768000</f>
        <v>9064300</v>
      </c>
      <c r="M80" s="20">
        <f t="shared" si="34"/>
        <v>-4351460</v>
      </c>
      <c r="N80" s="13">
        <f t="shared" ref="N80:N100" si="42">D80-K80</f>
        <v>665500</v>
      </c>
      <c r="O80" s="16">
        <v>665500</v>
      </c>
      <c r="P80" s="10">
        <f t="shared" si="33"/>
        <v>0</v>
      </c>
    </row>
    <row r="81" spans="1:16" s="14" customFormat="1" ht="15.75" customHeight="1" x14ac:dyDescent="0.25">
      <c r="A81" s="17">
        <v>46071</v>
      </c>
      <c r="B81" s="17" t="s">
        <v>5</v>
      </c>
      <c r="C81" s="18">
        <v>572</v>
      </c>
      <c r="D81" s="12">
        <v>282800</v>
      </c>
      <c r="E81" s="12">
        <v>162800</v>
      </c>
      <c r="F81" s="12">
        <v>130000</v>
      </c>
      <c r="G81" s="12">
        <v>177700</v>
      </c>
      <c r="H81" s="19">
        <f t="shared" si="40"/>
        <v>470500</v>
      </c>
      <c r="I81" s="9">
        <f t="shared" si="41"/>
        <v>753300</v>
      </c>
      <c r="J81" s="12">
        <v>0</v>
      </c>
      <c r="K81" s="12">
        <v>0</v>
      </c>
      <c r="L81" s="12">
        <v>0</v>
      </c>
      <c r="M81" s="20">
        <f t="shared" si="34"/>
        <v>470500</v>
      </c>
      <c r="N81" s="13">
        <f t="shared" si="42"/>
        <v>282800</v>
      </c>
      <c r="O81" s="16">
        <v>282800</v>
      </c>
      <c r="P81" s="10">
        <f t="shared" si="33"/>
        <v>0</v>
      </c>
    </row>
    <row r="82" spans="1:16" s="14" customFormat="1" ht="15.75" customHeight="1" x14ac:dyDescent="0.25">
      <c r="A82" s="17">
        <v>46072</v>
      </c>
      <c r="B82" s="17" t="s">
        <v>4</v>
      </c>
      <c r="C82" s="18">
        <v>573</v>
      </c>
      <c r="D82" s="12">
        <v>157900</v>
      </c>
      <c r="E82" s="12">
        <v>921000</v>
      </c>
      <c r="F82" s="12">
        <v>0</v>
      </c>
      <c r="G82" s="12">
        <v>54000</v>
      </c>
      <c r="H82" s="19">
        <f t="shared" si="40"/>
        <v>975000</v>
      </c>
      <c r="I82" s="9">
        <f t="shared" si="41"/>
        <v>1132900</v>
      </c>
      <c r="J82" s="12">
        <v>0</v>
      </c>
      <c r="K82" s="12">
        <v>0</v>
      </c>
      <c r="L82" s="12">
        <v>36000</v>
      </c>
      <c r="M82" s="20">
        <f t="shared" si="34"/>
        <v>975000</v>
      </c>
      <c r="N82" s="13">
        <f t="shared" si="42"/>
        <v>157900</v>
      </c>
      <c r="O82" s="16">
        <v>157900</v>
      </c>
      <c r="P82" s="10">
        <f t="shared" si="33"/>
        <v>0</v>
      </c>
    </row>
    <row r="83" spans="1:16" s="14" customFormat="1" ht="15.75" customHeight="1" x14ac:dyDescent="0.25">
      <c r="A83" s="17">
        <v>46072</v>
      </c>
      <c r="B83" s="17" t="s">
        <v>5</v>
      </c>
      <c r="C83" s="18">
        <v>574</v>
      </c>
      <c r="D83" s="12">
        <v>345100</v>
      </c>
      <c r="E83" s="12">
        <v>337500</v>
      </c>
      <c r="F83" s="12">
        <v>0</v>
      </c>
      <c r="G83" s="12">
        <v>65600</v>
      </c>
      <c r="H83" s="19">
        <f t="shared" si="40"/>
        <v>403100</v>
      </c>
      <c r="I83" s="9">
        <f t="shared" si="41"/>
        <v>748200</v>
      </c>
      <c r="J83" s="12">
        <v>0</v>
      </c>
      <c r="K83" s="12">
        <v>0</v>
      </c>
      <c r="L83" s="12">
        <v>0</v>
      </c>
      <c r="M83" s="20">
        <f t="shared" si="34"/>
        <v>403100</v>
      </c>
      <c r="N83" s="13">
        <f t="shared" si="42"/>
        <v>345100</v>
      </c>
      <c r="O83" s="16">
        <v>345100</v>
      </c>
      <c r="P83" s="10">
        <f t="shared" si="33"/>
        <v>0</v>
      </c>
    </row>
    <row r="84" spans="1:16" s="14" customFormat="1" ht="15.75" customHeight="1" x14ac:dyDescent="0.25">
      <c r="A84" s="17">
        <v>46073</v>
      </c>
      <c r="B84" s="17" t="s">
        <v>5</v>
      </c>
      <c r="C84" s="18">
        <v>575</v>
      </c>
      <c r="D84" s="12">
        <v>232800</v>
      </c>
      <c r="E84" s="12">
        <v>158500</v>
      </c>
      <c r="F84" s="12">
        <v>11900</v>
      </c>
      <c r="G84" s="12">
        <v>42000</v>
      </c>
      <c r="H84" s="19">
        <f t="shared" si="40"/>
        <v>212400</v>
      </c>
      <c r="I84" s="9">
        <f t="shared" si="41"/>
        <v>445200</v>
      </c>
      <c r="J84" s="12">
        <f>1479500</f>
        <v>1479500</v>
      </c>
      <c r="K84" s="12">
        <v>0</v>
      </c>
      <c r="L84" s="12">
        <f>269700+500000+570600+1530000</f>
        <v>2870300</v>
      </c>
      <c r="M84" s="20">
        <f t="shared" si="34"/>
        <v>-1267100</v>
      </c>
      <c r="N84" s="13">
        <f t="shared" si="42"/>
        <v>232800</v>
      </c>
      <c r="O84" s="16">
        <v>232800</v>
      </c>
      <c r="P84" s="10">
        <f t="shared" si="33"/>
        <v>0</v>
      </c>
    </row>
    <row r="85" spans="1:16" s="14" customFormat="1" ht="15.75" customHeight="1" x14ac:dyDescent="0.25">
      <c r="A85" s="17">
        <v>46073</v>
      </c>
      <c r="B85" s="17" t="s">
        <v>4</v>
      </c>
      <c r="C85" s="18">
        <v>576</v>
      </c>
      <c r="D85" s="12">
        <v>347600</v>
      </c>
      <c r="E85" s="12">
        <v>348300</v>
      </c>
      <c r="F85" s="12">
        <v>0</v>
      </c>
      <c r="G85" s="12">
        <v>151000</v>
      </c>
      <c r="H85" s="19">
        <f t="shared" si="40"/>
        <v>499300</v>
      </c>
      <c r="I85" s="9">
        <f t="shared" si="41"/>
        <v>846900</v>
      </c>
      <c r="J85" s="12">
        <v>0</v>
      </c>
      <c r="K85" s="12">
        <v>0</v>
      </c>
      <c r="L85" s="12">
        <v>0</v>
      </c>
      <c r="M85" s="20">
        <f t="shared" si="34"/>
        <v>499300</v>
      </c>
      <c r="N85" s="13">
        <f t="shared" si="42"/>
        <v>347600</v>
      </c>
      <c r="O85" s="16">
        <v>347600</v>
      </c>
      <c r="P85" s="10">
        <f t="shared" si="33"/>
        <v>0</v>
      </c>
    </row>
    <row r="86" spans="1:16" s="14" customFormat="1" ht="15.75" customHeight="1" x14ac:dyDescent="0.25">
      <c r="A86" s="17">
        <v>46074</v>
      </c>
      <c r="B86" s="17" t="s">
        <v>5</v>
      </c>
      <c r="C86" s="18">
        <v>577</v>
      </c>
      <c r="D86" s="12">
        <v>792700</v>
      </c>
      <c r="E86" s="12">
        <v>511300</v>
      </c>
      <c r="F86" s="12">
        <v>17000</v>
      </c>
      <c r="G86" s="12">
        <v>159000</v>
      </c>
      <c r="H86" s="19">
        <f t="shared" si="40"/>
        <v>687300</v>
      </c>
      <c r="I86" s="9">
        <f t="shared" si="41"/>
        <v>1480000</v>
      </c>
      <c r="J86" s="12">
        <v>0</v>
      </c>
      <c r="K86" s="12">
        <v>195000</v>
      </c>
      <c r="L86" s="12">
        <v>448000</v>
      </c>
      <c r="M86" s="20">
        <f t="shared" si="34"/>
        <v>687300</v>
      </c>
      <c r="N86" s="13">
        <f t="shared" si="42"/>
        <v>597700</v>
      </c>
      <c r="O86" s="16">
        <v>597700</v>
      </c>
      <c r="P86" s="10">
        <f t="shared" si="33"/>
        <v>0</v>
      </c>
    </row>
    <row r="87" spans="1:16" s="14" customFormat="1" ht="15.75" customHeight="1" x14ac:dyDescent="0.25">
      <c r="A87" s="17">
        <v>46075</v>
      </c>
      <c r="B87" s="17" t="s">
        <v>4</v>
      </c>
      <c r="C87" s="18">
        <v>578</v>
      </c>
      <c r="D87" s="12">
        <v>408700</v>
      </c>
      <c r="E87" s="12">
        <v>309700</v>
      </c>
      <c r="F87" s="12">
        <v>107500</v>
      </c>
      <c r="G87" s="12">
        <v>36000</v>
      </c>
      <c r="H87" s="19">
        <f t="shared" si="40"/>
        <v>453200</v>
      </c>
      <c r="I87" s="9">
        <f t="shared" si="41"/>
        <v>861900</v>
      </c>
      <c r="J87" s="12">
        <v>0</v>
      </c>
      <c r="K87" s="12">
        <v>0</v>
      </c>
      <c r="L87" s="12">
        <v>0</v>
      </c>
      <c r="M87" s="20">
        <f t="shared" si="34"/>
        <v>453200</v>
      </c>
      <c r="N87" s="13">
        <f t="shared" si="42"/>
        <v>408700</v>
      </c>
      <c r="O87" s="16">
        <v>408700</v>
      </c>
      <c r="P87" s="10">
        <f t="shared" si="33"/>
        <v>0</v>
      </c>
    </row>
    <row r="88" spans="1:16" s="14" customFormat="1" ht="15.75" customHeight="1" x14ac:dyDescent="0.25">
      <c r="A88" s="17">
        <v>46076</v>
      </c>
      <c r="B88" s="17" t="s">
        <v>4</v>
      </c>
      <c r="C88" s="18">
        <v>579</v>
      </c>
      <c r="D88" s="12">
        <v>555200</v>
      </c>
      <c r="E88" s="12">
        <v>380600</v>
      </c>
      <c r="F88" s="12">
        <v>10000</v>
      </c>
      <c r="G88" s="12">
        <v>142500</v>
      </c>
      <c r="H88" s="19">
        <f t="shared" si="40"/>
        <v>533100</v>
      </c>
      <c r="I88" s="9">
        <f t="shared" si="41"/>
        <v>1088300</v>
      </c>
      <c r="J88" s="12">
        <v>0</v>
      </c>
      <c r="K88" s="12">
        <v>4000</v>
      </c>
      <c r="L88" s="12">
        <f>40000+250000</f>
        <v>290000</v>
      </c>
      <c r="M88" s="20">
        <f t="shared" si="34"/>
        <v>533100</v>
      </c>
      <c r="N88" s="13">
        <f t="shared" si="42"/>
        <v>551200</v>
      </c>
      <c r="O88" s="16">
        <v>551200</v>
      </c>
      <c r="P88" s="10">
        <f t="shared" si="33"/>
        <v>0</v>
      </c>
    </row>
    <row r="89" spans="1:16" s="14" customFormat="1" ht="15.75" customHeight="1" x14ac:dyDescent="0.25">
      <c r="A89" s="17">
        <v>46077</v>
      </c>
      <c r="B89" s="17" t="s">
        <v>5</v>
      </c>
      <c r="C89" s="18">
        <v>580</v>
      </c>
      <c r="D89" s="12">
        <v>169200</v>
      </c>
      <c r="E89" s="12">
        <v>17000</v>
      </c>
      <c r="F89" s="12">
        <v>0</v>
      </c>
      <c r="G89" s="12">
        <v>15000</v>
      </c>
      <c r="H89" s="19">
        <f t="shared" si="40"/>
        <v>32000</v>
      </c>
      <c r="I89" s="9">
        <f t="shared" si="41"/>
        <v>201200</v>
      </c>
      <c r="J89" s="12">
        <v>0</v>
      </c>
      <c r="K89" s="12">
        <v>0</v>
      </c>
      <c r="L89" s="12">
        <v>0</v>
      </c>
      <c r="M89" s="20">
        <f t="shared" si="34"/>
        <v>32000</v>
      </c>
      <c r="N89" s="13">
        <f t="shared" si="42"/>
        <v>169200</v>
      </c>
      <c r="O89" s="16">
        <v>169200</v>
      </c>
      <c r="P89" s="10">
        <f t="shared" si="33"/>
        <v>0</v>
      </c>
    </row>
    <row r="90" spans="1:16" s="14" customFormat="1" ht="15.75" customHeight="1" x14ac:dyDescent="0.25">
      <c r="A90" s="17">
        <v>46077</v>
      </c>
      <c r="B90" s="17" t="s">
        <v>4</v>
      </c>
      <c r="C90" s="18">
        <v>581</v>
      </c>
      <c r="D90" s="12">
        <v>565200</v>
      </c>
      <c r="E90" s="12">
        <v>119400</v>
      </c>
      <c r="F90" s="12">
        <v>11000</v>
      </c>
      <c r="G90" s="12">
        <v>132000</v>
      </c>
      <c r="H90" s="19">
        <f t="shared" si="40"/>
        <v>262400</v>
      </c>
      <c r="I90" s="9">
        <f t="shared" si="41"/>
        <v>827600</v>
      </c>
      <c r="J90" s="12">
        <v>0</v>
      </c>
      <c r="K90" s="12">
        <v>156500</v>
      </c>
      <c r="L90" s="12">
        <f>34000+50000</f>
        <v>84000</v>
      </c>
      <c r="M90" s="20">
        <f t="shared" si="34"/>
        <v>262400</v>
      </c>
      <c r="N90" s="13">
        <f t="shared" si="42"/>
        <v>408700</v>
      </c>
      <c r="O90" s="16">
        <v>409000</v>
      </c>
      <c r="P90" s="10">
        <f t="shared" si="33"/>
        <v>300</v>
      </c>
    </row>
    <row r="91" spans="1:16" s="14" customFormat="1" ht="15.75" customHeight="1" x14ac:dyDescent="0.25">
      <c r="A91" s="17">
        <v>46078</v>
      </c>
      <c r="B91" s="17" t="s">
        <v>5</v>
      </c>
      <c r="C91" s="18">
        <v>582</v>
      </c>
      <c r="D91" s="12">
        <v>265000</v>
      </c>
      <c r="E91" s="12">
        <v>241200</v>
      </c>
      <c r="F91" s="12">
        <v>0</v>
      </c>
      <c r="G91" s="12">
        <v>50000</v>
      </c>
      <c r="H91" s="19">
        <f t="shared" si="40"/>
        <v>291200</v>
      </c>
      <c r="I91" s="9">
        <f t="shared" si="41"/>
        <v>556200</v>
      </c>
      <c r="J91" s="12">
        <v>0</v>
      </c>
      <c r="K91" s="12">
        <v>0</v>
      </c>
      <c r="L91" s="12">
        <v>0</v>
      </c>
      <c r="M91" s="20">
        <f t="shared" si="34"/>
        <v>291200</v>
      </c>
      <c r="N91" s="13">
        <f t="shared" si="42"/>
        <v>265000</v>
      </c>
      <c r="O91" s="16">
        <v>265000</v>
      </c>
      <c r="P91" s="10">
        <f t="shared" si="33"/>
        <v>0</v>
      </c>
    </row>
    <row r="92" spans="1:16" s="14" customFormat="1" ht="15.75" customHeight="1" x14ac:dyDescent="0.25">
      <c r="A92" s="17">
        <v>46078</v>
      </c>
      <c r="B92" s="17" t="s">
        <v>4</v>
      </c>
      <c r="C92" s="18">
        <v>583</v>
      </c>
      <c r="D92" s="12">
        <v>218600</v>
      </c>
      <c r="E92" s="12">
        <v>278800</v>
      </c>
      <c r="F92" s="12">
        <v>43000</v>
      </c>
      <c r="G92" s="12">
        <v>21500</v>
      </c>
      <c r="H92" s="19">
        <f t="shared" si="40"/>
        <v>343300</v>
      </c>
      <c r="I92" s="9">
        <f t="shared" si="41"/>
        <v>561900</v>
      </c>
      <c r="J92" s="12">
        <v>0</v>
      </c>
      <c r="K92" s="12">
        <v>0</v>
      </c>
      <c r="L92" s="12">
        <v>0</v>
      </c>
      <c r="M92" s="20">
        <f t="shared" si="34"/>
        <v>343300</v>
      </c>
      <c r="N92" s="13">
        <f t="shared" si="42"/>
        <v>218600</v>
      </c>
      <c r="O92" s="16">
        <v>218600</v>
      </c>
      <c r="P92" s="10">
        <f t="shared" si="33"/>
        <v>0</v>
      </c>
    </row>
    <row r="93" spans="1:16" s="14" customFormat="1" ht="15.75" customHeight="1" x14ac:dyDescent="0.25">
      <c r="A93" s="17">
        <v>46079</v>
      </c>
      <c r="B93" s="17" t="s">
        <v>5</v>
      </c>
      <c r="C93" s="18">
        <v>584</v>
      </c>
      <c r="D93" s="12">
        <v>278600</v>
      </c>
      <c r="E93" s="12">
        <v>0</v>
      </c>
      <c r="F93" s="12">
        <v>0</v>
      </c>
      <c r="G93" s="12">
        <v>76000</v>
      </c>
      <c r="H93" s="19">
        <f t="shared" si="40"/>
        <v>76000</v>
      </c>
      <c r="I93" s="9">
        <f t="shared" si="41"/>
        <v>354600</v>
      </c>
      <c r="J93" s="12">
        <f>1199060</f>
        <v>1199060</v>
      </c>
      <c r="K93" s="12">
        <v>35000</v>
      </c>
      <c r="L93" s="12">
        <v>0</v>
      </c>
      <c r="M93" s="20">
        <f t="shared" si="34"/>
        <v>-1123060</v>
      </c>
      <c r="N93" s="13">
        <f t="shared" si="42"/>
        <v>243600</v>
      </c>
      <c r="O93" s="16">
        <v>244300</v>
      </c>
      <c r="P93" s="10">
        <f t="shared" si="33"/>
        <v>700</v>
      </c>
    </row>
    <row r="94" spans="1:16" s="14" customFormat="1" ht="15.75" customHeight="1" x14ac:dyDescent="0.25">
      <c r="A94" s="17">
        <v>46079</v>
      </c>
      <c r="B94" s="17" t="s">
        <v>4</v>
      </c>
      <c r="C94" s="18">
        <v>585</v>
      </c>
      <c r="D94" s="12">
        <v>340100</v>
      </c>
      <c r="E94" s="12">
        <v>44100</v>
      </c>
      <c r="F94" s="12">
        <v>22000</v>
      </c>
      <c r="G94" s="12">
        <v>280000</v>
      </c>
      <c r="H94" s="19">
        <f t="shared" si="40"/>
        <v>346100</v>
      </c>
      <c r="I94" s="9">
        <f t="shared" si="41"/>
        <v>686200</v>
      </c>
      <c r="J94" s="12">
        <v>0</v>
      </c>
      <c r="K94" s="12">
        <v>0</v>
      </c>
      <c r="L94" s="12">
        <v>0</v>
      </c>
      <c r="M94" s="20">
        <f t="shared" si="34"/>
        <v>346100</v>
      </c>
      <c r="N94" s="13">
        <f t="shared" si="42"/>
        <v>340100</v>
      </c>
      <c r="O94" s="16">
        <v>340100</v>
      </c>
      <c r="P94" s="10">
        <f t="shared" si="33"/>
        <v>0</v>
      </c>
    </row>
    <row r="95" spans="1:16" s="14" customFormat="1" ht="15.75" customHeight="1" x14ac:dyDescent="0.25">
      <c r="A95" s="17">
        <v>46080</v>
      </c>
      <c r="B95" s="17" t="s">
        <v>5</v>
      </c>
      <c r="C95" s="18">
        <v>586</v>
      </c>
      <c r="D95" s="12">
        <v>265500</v>
      </c>
      <c r="E95" s="12">
        <v>103500</v>
      </c>
      <c r="F95" s="12">
        <v>10000</v>
      </c>
      <c r="G95" s="12">
        <v>0</v>
      </c>
      <c r="H95" s="19">
        <f t="shared" si="40"/>
        <v>113500</v>
      </c>
      <c r="I95" s="9">
        <f t="shared" si="41"/>
        <v>379000</v>
      </c>
      <c r="J95" s="12">
        <v>0</v>
      </c>
      <c r="K95" s="12">
        <v>3100</v>
      </c>
      <c r="L95" s="12">
        <v>0</v>
      </c>
      <c r="M95" s="20">
        <f t="shared" si="34"/>
        <v>113500</v>
      </c>
      <c r="N95" s="13">
        <f t="shared" si="42"/>
        <v>262400</v>
      </c>
      <c r="O95" s="16">
        <v>262700</v>
      </c>
      <c r="P95" s="10">
        <f t="shared" si="33"/>
        <v>300</v>
      </c>
    </row>
    <row r="96" spans="1:16" s="14" customFormat="1" ht="15.75" customHeight="1" x14ac:dyDescent="0.25">
      <c r="A96" s="17">
        <v>46080</v>
      </c>
      <c r="B96" s="17" t="s">
        <v>4</v>
      </c>
      <c r="C96" s="18">
        <v>587</v>
      </c>
      <c r="D96" s="12">
        <v>354400</v>
      </c>
      <c r="E96" s="12">
        <v>152300</v>
      </c>
      <c r="F96" s="12">
        <v>149500</v>
      </c>
      <c r="G96" s="12">
        <v>76000</v>
      </c>
      <c r="H96" s="19">
        <f t="shared" si="40"/>
        <v>377800</v>
      </c>
      <c r="I96" s="9">
        <f t="shared" si="41"/>
        <v>732200</v>
      </c>
      <c r="J96" s="12">
        <v>0</v>
      </c>
      <c r="K96" s="12">
        <v>0</v>
      </c>
      <c r="L96" s="12">
        <v>0</v>
      </c>
      <c r="M96" s="20">
        <f t="shared" si="34"/>
        <v>377800</v>
      </c>
      <c r="N96" s="13">
        <f t="shared" si="42"/>
        <v>354400</v>
      </c>
      <c r="O96" s="16">
        <v>354400</v>
      </c>
      <c r="P96" s="10">
        <f t="shared" si="33"/>
        <v>0</v>
      </c>
    </row>
    <row r="97" spans="1:16" s="14" customFormat="1" ht="15.75" customHeight="1" x14ac:dyDescent="0.25">
      <c r="A97" s="17">
        <v>46081</v>
      </c>
      <c r="B97" s="17" t="s">
        <v>5</v>
      </c>
      <c r="C97" s="18">
        <v>588</v>
      </c>
      <c r="D97" s="12">
        <v>607100</v>
      </c>
      <c r="E97" s="12">
        <v>114800</v>
      </c>
      <c r="F97" s="12">
        <v>66000</v>
      </c>
      <c r="G97" s="12">
        <v>232500</v>
      </c>
      <c r="H97" s="19">
        <f t="shared" si="40"/>
        <v>413300</v>
      </c>
      <c r="I97" s="9">
        <f t="shared" si="41"/>
        <v>1020400</v>
      </c>
      <c r="J97" s="12">
        <v>0</v>
      </c>
      <c r="K97" s="12">
        <v>3000</v>
      </c>
      <c r="L97" s="12">
        <v>0</v>
      </c>
      <c r="M97" s="20">
        <f t="shared" si="34"/>
        <v>413300</v>
      </c>
      <c r="N97" s="13">
        <f t="shared" si="42"/>
        <v>604100</v>
      </c>
      <c r="O97" s="16">
        <v>604100</v>
      </c>
      <c r="P97" s="10">
        <f t="shared" si="33"/>
        <v>0</v>
      </c>
    </row>
    <row r="98" spans="1:16" s="14" customFormat="1" ht="15.75" customHeight="1" x14ac:dyDescent="0.25">
      <c r="A98" s="17">
        <v>46082</v>
      </c>
      <c r="B98" s="17" t="s">
        <v>4</v>
      </c>
      <c r="C98" s="18">
        <v>589</v>
      </c>
      <c r="D98" s="12">
        <v>638300</v>
      </c>
      <c r="E98" s="12">
        <v>152000</v>
      </c>
      <c r="F98" s="12">
        <v>71500</v>
      </c>
      <c r="G98" s="12">
        <v>138300</v>
      </c>
      <c r="H98" s="19">
        <f t="shared" si="40"/>
        <v>361800</v>
      </c>
      <c r="I98" s="9">
        <f t="shared" si="41"/>
        <v>1000100</v>
      </c>
      <c r="J98" s="12">
        <v>0</v>
      </c>
      <c r="K98" s="12">
        <v>0</v>
      </c>
      <c r="L98" s="12">
        <f>150000+200000</f>
        <v>350000</v>
      </c>
      <c r="M98" s="20">
        <f t="shared" si="34"/>
        <v>361800</v>
      </c>
      <c r="N98" s="13">
        <f t="shared" si="42"/>
        <v>638300</v>
      </c>
      <c r="O98" s="16">
        <v>638300</v>
      </c>
      <c r="P98" s="10">
        <f t="shared" si="33"/>
        <v>0</v>
      </c>
    </row>
    <row r="99" spans="1:16" s="14" customFormat="1" ht="15.75" customHeight="1" x14ac:dyDescent="0.25">
      <c r="A99" s="17">
        <v>46083</v>
      </c>
      <c r="B99" s="17" t="s">
        <v>4</v>
      </c>
      <c r="C99" s="18">
        <v>590</v>
      </c>
      <c r="D99" s="12">
        <v>390600</v>
      </c>
      <c r="E99" s="12">
        <v>136300</v>
      </c>
      <c r="F99" s="12">
        <v>0</v>
      </c>
      <c r="G99" s="12">
        <v>34000</v>
      </c>
      <c r="H99" s="19">
        <f t="shared" si="40"/>
        <v>170300</v>
      </c>
      <c r="I99" s="9">
        <f t="shared" si="41"/>
        <v>560900</v>
      </c>
      <c r="J99" s="12">
        <v>0</v>
      </c>
      <c r="K99" s="12">
        <v>0</v>
      </c>
      <c r="L99" s="12">
        <f>3000000+12100+110000+500000</f>
        <v>3622100</v>
      </c>
      <c r="M99" s="20">
        <f t="shared" si="34"/>
        <v>170300</v>
      </c>
      <c r="N99" s="13">
        <f t="shared" si="42"/>
        <v>390600</v>
      </c>
      <c r="O99" s="16">
        <v>390600</v>
      </c>
      <c r="P99" s="10">
        <f t="shared" si="33"/>
        <v>0</v>
      </c>
    </row>
    <row r="100" spans="1:16" s="14" customFormat="1" ht="15.75" customHeight="1" x14ac:dyDescent="0.25">
      <c r="A100" s="17">
        <v>46083</v>
      </c>
      <c r="B100" s="17" t="s">
        <v>5</v>
      </c>
      <c r="C100" s="18">
        <v>591</v>
      </c>
      <c r="D100" s="12">
        <v>348400</v>
      </c>
      <c r="E100" s="12">
        <v>85000</v>
      </c>
      <c r="F100" s="12">
        <v>10000</v>
      </c>
      <c r="G100" s="12">
        <v>0</v>
      </c>
      <c r="H100" s="19">
        <f t="shared" si="40"/>
        <v>95000</v>
      </c>
      <c r="I100" s="9">
        <f t="shared" si="41"/>
        <v>443400</v>
      </c>
      <c r="J100" s="12">
        <v>0</v>
      </c>
      <c r="K100" s="12">
        <v>0</v>
      </c>
      <c r="L100" s="12">
        <v>0</v>
      </c>
      <c r="M100" s="20">
        <f t="shared" si="34"/>
        <v>95000</v>
      </c>
      <c r="N100" s="13">
        <f t="shared" si="42"/>
        <v>348400</v>
      </c>
      <c r="O100" s="16">
        <v>348400</v>
      </c>
      <c r="P100" s="10">
        <f t="shared" si="33"/>
        <v>0</v>
      </c>
    </row>
    <row r="101" spans="1:16" s="14" customFormat="1" ht="15.75" customHeight="1" x14ac:dyDescent="0.25">
      <c r="A101" s="17">
        <v>46084</v>
      </c>
      <c r="B101" s="17" t="s">
        <v>4</v>
      </c>
      <c r="C101" s="18">
        <v>592</v>
      </c>
      <c r="D101" s="12">
        <v>362900</v>
      </c>
      <c r="E101" s="12">
        <v>129000</v>
      </c>
      <c r="F101" s="12">
        <v>81000</v>
      </c>
      <c r="G101" s="12">
        <v>138500</v>
      </c>
      <c r="H101" s="19">
        <f t="shared" si="40"/>
        <v>348500</v>
      </c>
      <c r="I101" s="9">
        <f t="shared" si="41"/>
        <v>711400</v>
      </c>
      <c r="J101" s="12">
        <v>0</v>
      </c>
      <c r="K101" s="12">
        <v>0</v>
      </c>
      <c r="L101" s="12">
        <v>0</v>
      </c>
      <c r="M101" s="20">
        <f t="shared" si="34"/>
        <v>348500</v>
      </c>
      <c r="N101" s="13">
        <f>D101-K101</f>
        <v>362900</v>
      </c>
      <c r="O101" s="16">
        <v>362900</v>
      </c>
      <c r="P101" s="10">
        <f t="shared" si="33"/>
        <v>0</v>
      </c>
    </row>
    <row r="102" spans="1:16" s="14" customFormat="1" ht="15.75" customHeight="1" x14ac:dyDescent="0.25">
      <c r="A102" s="17">
        <v>46084</v>
      </c>
      <c r="B102" s="17" t="s">
        <v>5</v>
      </c>
      <c r="C102" s="18">
        <v>593</v>
      </c>
      <c r="D102" s="12">
        <v>162100</v>
      </c>
      <c r="E102" s="12">
        <v>174700</v>
      </c>
      <c r="F102" s="12">
        <v>0</v>
      </c>
      <c r="G102" s="12">
        <v>88300</v>
      </c>
      <c r="H102" s="19">
        <f t="shared" si="40"/>
        <v>263000</v>
      </c>
      <c r="I102" s="9">
        <f t="shared" si="41"/>
        <v>425100</v>
      </c>
      <c r="J102" s="12">
        <v>0</v>
      </c>
      <c r="K102" s="12">
        <v>18000</v>
      </c>
      <c r="L102" s="12">
        <v>80800</v>
      </c>
      <c r="M102" s="20">
        <f t="shared" si="34"/>
        <v>263000</v>
      </c>
      <c r="N102" s="13">
        <f t="shared" ref="N102:N128" si="43">D102-K102</f>
        <v>144100</v>
      </c>
      <c r="O102" s="16">
        <v>144100</v>
      </c>
      <c r="P102" s="10">
        <f t="shared" si="33"/>
        <v>0</v>
      </c>
    </row>
    <row r="103" spans="1:16" s="14" customFormat="1" ht="15.75" customHeight="1" x14ac:dyDescent="0.25">
      <c r="A103" s="17">
        <v>46085</v>
      </c>
      <c r="B103" s="17" t="s">
        <v>4</v>
      </c>
      <c r="C103" s="18">
        <v>594</v>
      </c>
      <c r="D103" s="12">
        <v>214000</v>
      </c>
      <c r="E103" s="12">
        <v>94500</v>
      </c>
      <c r="F103" s="12">
        <v>72000</v>
      </c>
      <c r="G103" s="12">
        <v>0</v>
      </c>
      <c r="H103" s="19">
        <f t="shared" si="40"/>
        <v>166500</v>
      </c>
      <c r="I103" s="9">
        <f t="shared" si="41"/>
        <v>380500</v>
      </c>
      <c r="J103" s="12">
        <v>0</v>
      </c>
      <c r="K103" s="12">
        <v>0</v>
      </c>
      <c r="L103" s="12">
        <v>64600</v>
      </c>
      <c r="M103" s="20">
        <f t="shared" si="34"/>
        <v>166500</v>
      </c>
      <c r="N103" s="13">
        <f t="shared" si="43"/>
        <v>214000</v>
      </c>
      <c r="O103" s="16">
        <v>214000</v>
      </c>
      <c r="P103" s="10">
        <f t="shared" si="33"/>
        <v>0</v>
      </c>
    </row>
    <row r="104" spans="1:16" s="14" customFormat="1" ht="15.75" customHeight="1" x14ac:dyDescent="0.25">
      <c r="A104" s="17">
        <v>46085</v>
      </c>
      <c r="B104" s="17" t="s">
        <v>5</v>
      </c>
      <c r="C104" s="18">
        <v>595</v>
      </c>
      <c r="D104" s="12">
        <v>320200</v>
      </c>
      <c r="E104" s="12">
        <v>122400</v>
      </c>
      <c r="F104" s="12">
        <v>145500</v>
      </c>
      <c r="G104" s="12">
        <v>184000</v>
      </c>
      <c r="H104" s="19">
        <f t="shared" si="40"/>
        <v>451900</v>
      </c>
      <c r="I104" s="9">
        <f t="shared" si="41"/>
        <v>772100</v>
      </c>
      <c r="J104" s="12">
        <v>551438</v>
      </c>
      <c r="K104" s="12">
        <v>5000</v>
      </c>
      <c r="L104" s="12">
        <v>0</v>
      </c>
      <c r="M104" s="20">
        <f t="shared" si="34"/>
        <v>-99538</v>
      </c>
      <c r="N104" s="13">
        <f t="shared" si="43"/>
        <v>315200</v>
      </c>
      <c r="O104" s="16">
        <v>315400</v>
      </c>
      <c r="P104" s="10">
        <f t="shared" si="33"/>
        <v>200</v>
      </c>
    </row>
    <row r="105" spans="1:16" s="14" customFormat="1" ht="15.75" customHeight="1" x14ac:dyDescent="0.25">
      <c r="A105" s="17">
        <v>46058</v>
      </c>
      <c r="B105" s="17" t="s">
        <v>4</v>
      </c>
      <c r="C105" s="18">
        <v>596</v>
      </c>
      <c r="D105" s="12">
        <v>676000</v>
      </c>
      <c r="E105" s="12">
        <v>122000</v>
      </c>
      <c r="F105" s="12">
        <v>70000</v>
      </c>
      <c r="G105" s="12">
        <v>108500</v>
      </c>
      <c r="H105" s="19">
        <f t="shared" si="40"/>
        <v>300500</v>
      </c>
      <c r="I105" s="9">
        <f t="shared" si="41"/>
        <v>976500</v>
      </c>
      <c r="J105" s="12">
        <f>1215200+500000+500000+225000+203840+3000000</f>
        <v>5644040</v>
      </c>
      <c r="K105" s="12">
        <v>4000</v>
      </c>
      <c r="L105" s="12">
        <f>280000+40000+164900+76000+2573800</f>
        <v>3134700</v>
      </c>
      <c r="M105" s="20">
        <f t="shared" si="34"/>
        <v>-5343540</v>
      </c>
      <c r="N105" s="13">
        <f t="shared" si="43"/>
        <v>672000</v>
      </c>
      <c r="O105" s="16">
        <v>672700</v>
      </c>
      <c r="P105" s="10">
        <f t="shared" si="33"/>
        <v>700</v>
      </c>
    </row>
    <row r="106" spans="1:16" s="14" customFormat="1" ht="15.75" customHeight="1" x14ac:dyDescent="0.25">
      <c r="A106" s="17">
        <v>46058</v>
      </c>
      <c r="B106" s="17" t="s">
        <v>5</v>
      </c>
      <c r="C106" s="18">
        <v>597</v>
      </c>
      <c r="D106" s="12">
        <v>461200</v>
      </c>
      <c r="E106" s="12">
        <v>8000</v>
      </c>
      <c r="F106" s="12">
        <v>0</v>
      </c>
      <c r="G106" s="12">
        <v>34000</v>
      </c>
      <c r="H106" s="19">
        <f t="shared" si="40"/>
        <v>42000</v>
      </c>
      <c r="I106" s="9">
        <f t="shared" si="41"/>
        <v>503200</v>
      </c>
      <c r="J106" s="12">
        <v>0</v>
      </c>
      <c r="K106" s="12">
        <v>0</v>
      </c>
      <c r="L106" s="12">
        <v>147900</v>
      </c>
      <c r="M106" s="20">
        <f t="shared" si="34"/>
        <v>42000</v>
      </c>
      <c r="N106" s="13">
        <f t="shared" si="43"/>
        <v>461200</v>
      </c>
      <c r="O106" s="16">
        <v>461200</v>
      </c>
      <c r="P106" s="10">
        <f t="shared" si="33"/>
        <v>0</v>
      </c>
    </row>
    <row r="107" spans="1:16" s="14" customFormat="1" ht="15.75" customHeight="1" x14ac:dyDescent="0.25">
      <c r="A107" s="17">
        <v>46087</v>
      </c>
      <c r="B107" s="17" t="s">
        <v>4</v>
      </c>
      <c r="C107" s="18">
        <v>598</v>
      </c>
      <c r="D107" s="12">
        <v>106500</v>
      </c>
      <c r="E107" s="12">
        <v>54800</v>
      </c>
      <c r="F107" s="12">
        <v>0</v>
      </c>
      <c r="G107" s="12">
        <v>51000</v>
      </c>
      <c r="H107" s="19">
        <f t="shared" si="40"/>
        <v>105800</v>
      </c>
      <c r="I107" s="9">
        <f t="shared" si="41"/>
        <v>212300</v>
      </c>
      <c r="J107" s="12">
        <v>0</v>
      </c>
      <c r="K107" s="12">
        <v>0</v>
      </c>
      <c r="L107" s="12">
        <v>140000</v>
      </c>
      <c r="M107" s="20">
        <f t="shared" si="34"/>
        <v>105800</v>
      </c>
      <c r="N107" s="13">
        <f t="shared" si="43"/>
        <v>106500</v>
      </c>
      <c r="O107" s="16">
        <v>106500</v>
      </c>
      <c r="P107" s="10">
        <f t="shared" si="33"/>
        <v>0</v>
      </c>
    </row>
    <row r="108" spans="1:16" s="14" customFormat="1" ht="15.75" customHeight="1" x14ac:dyDescent="0.25">
      <c r="A108" s="17">
        <v>46087</v>
      </c>
      <c r="B108" s="17" t="s">
        <v>5</v>
      </c>
      <c r="C108" s="18">
        <v>599</v>
      </c>
      <c r="D108" s="12">
        <v>305300</v>
      </c>
      <c r="E108" s="12">
        <v>60600</v>
      </c>
      <c r="F108" s="12">
        <v>0</v>
      </c>
      <c r="G108" s="12">
        <v>81000</v>
      </c>
      <c r="H108" s="19">
        <f t="shared" si="40"/>
        <v>141600</v>
      </c>
      <c r="I108" s="9">
        <f t="shared" si="41"/>
        <v>446900</v>
      </c>
      <c r="J108" s="12"/>
      <c r="K108" s="12">
        <v>0</v>
      </c>
      <c r="L108" s="12">
        <f>118200+20000+190000</f>
        <v>328200</v>
      </c>
      <c r="M108" s="20">
        <f t="shared" si="34"/>
        <v>141600</v>
      </c>
      <c r="N108" s="13">
        <f t="shared" si="43"/>
        <v>305300</v>
      </c>
      <c r="O108" s="16">
        <v>305300</v>
      </c>
      <c r="P108" s="10">
        <f t="shared" si="33"/>
        <v>0</v>
      </c>
    </row>
    <row r="109" spans="1:16" s="14" customFormat="1" ht="15.75" customHeight="1" x14ac:dyDescent="0.25">
      <c r="A109" s="17">
        <v>46088</v>
      </c>
      <c r="B109" s="17" t="s">
        <v>4</v>
      </c>
      <c r="C109" s="18">
        <v>600</v>
      </c>
      <c r="D109" s="12">
        <v>514700</v>
      </c>
      <c r="E109" s="12">
        <v>162300</v>
      </c>
      <c r="F109" s="12">
        <v>74500</v>
      </c>
      <c r="G109" s="12">
        <v>75000</v>
      </c>
      <c r="H109" s="19">
        <f t="shared" si="40"/>
        <v>311800</v>
      </c>
      <c r="I109" s="9">
        <f t="shared" si="41"/>
        <v>826500</v>
      </c>
      <c r="J109" s="12">
        <v>0</v>
      </c>
      <c r="K109" s="12">
        <v>0</v>
      </c>
      <c r="L109" s="12">
        <v>0</v>
      </c>
      <c r="M109" s="20">
        <f t="shared" si="34"/>
        <v>311800</v>
      </c>
      <c r="N109" s="13">
        <f t="shared" si="43"/>
        <v>514700</v>
      </c>
      <c r="O109" s="16">
        <v>514700</v>
      </c>
      <c r="P109" s="10">
        <f t="shared" si="33"/>
        <v>0</v>
      </c>
    </row>
    <row r="110" spans="1:16" s="14" customFormat="1" ht="15.75" customHeight="1" x14ac:dyDescent="0.25">
      <c r="A110" s="17" t="s">
        <v>169</v>
      </c>
      <c r="B110" s="17" t="s">
        <v>5</v>
      </c>
      <c r="C110" s="18">
        <v>601</v>
      </c>
      <c r="D110" s="12">
        <v>555700</v>
      </c>
      <c r="E110" s="12">
        <v>47500</v>
      </c>
      <c r="F110" s="12">
        <v>0</v>
      </c>
      <c r="G110" s="12">
        <v>20000</v>
      </c>
      <c r="H110" s="19">
        <f t="shared" si="40"/>
        <v>67500</v>
      </c>
      <c r="I110" s="9">
        <f t="shared" si="41"/>
        <v>623200</v>
      </c>
      <c r="J110" s="12">
        <v>0</v>
      </c>
      <c r="K110" s="12">
        <v>0</v>
      </c>
      <c r="L110" s="12">
        <v>0</v>
      </c>
      <c r="M110" s="20">
        <f t="shared" si="34"/>
        <v>67500</v>
      </c>
      <c r="N110" s="13">
        <f t="shared" si="43"/>
        <v>555700</v>
      </c>
      <c r="O110" s="16">
        <v>555700</v>
      </c>
      <c r="P110" s="10">
        <f t="shared" si="33"/>
        <v>0</v>
      </c>
    </row>
    <row r="111" spans="1:16" s="14" customFormat="1" ht="15.75" customHeight="1" x14ac:dyDescent="0.25">
      <c r="A111" s="17" t="s">
        <v>170</v>
      </c>
      <c r="B111" s="17" t="s">
        <v>5</v>
      </c>
      <c r="C111" s="18">
        <v>602</v>
      </c>
      <c r="D111" s="12">
        <v>212400</v>
      </c>
      <c r="E111" s="12">
        <v>24400</v>
      </c>
      <c r="F111" s="12">
        <v>225000</v>
      </c>
      <c r="G111" s="12">
        <v>188200</v>
      </c>
      <c r="H111" s="19">
        <f t="shared" si="40"/>
        <v>437600</v>
      </c>
      <c r="I111" s="9">
        <f t="shared" si="41"/>
        <v>650000</v>
      </c>
      <c r="J111" s="12">
        <v>100000</v>
      </c>
      <c r="K111" s="12">
        <v>0</v>
      </c>
      <c r="L111" s="12">
        <v>85000</v>
      </c>
      <c r="M111" s="20">
        <f t="shared" si="34"/>
        <v>337600</v>
      </c>
      <c r="N111" s="13">
        <f t="shared" si="43"/>
        <v>212400</v>
      </c>
      <c r="O111" s="16">
        <v>212400</v>
      </c>
      <c r="P111" s="10">
        <f t="shared" si="33"/>
        <v>0</v>
      </c>
    </row>
    <row r="112" spans="1:16" s="14" customFormat="1" ht="15.75" customHeight="1" x14ac:dyDescent="0.25">
      <c r="A112" s="17">
        <v>46090</v>
      </c>
      <c r="B112" s="17" t="s">
        <v>4</v>
      </c>
      <c r="C112" s="18">
        <v>603</v>
      </c>
      <c r="D112" s="12">
        <v>627500</v>
      </c>
      <c r="E112" s="12">
        <v>22500</v>
      </c>
      <c r="F112" s="12">
        <v>0</v>
      </c>
      <c r="G112" s="12">
        <v>78500</v>
      </c>
      <c r="H112" s="19">
        <f t="shared" si="40"/>
        <v>101000</v>
      </c>
      <c r="I112" s="9">
        <f t="shared" si="41"/>
        <v>728500</v>
      </c>
      <c r="J112" s="12">
        <v>0</v>
      </c>
      <c r="K112" s="12">
        <v>0</v>
      </c>
      <c r="L112" s="12">
        <v>28000</v>
      </c>
      <c r="M112" s="20">
        <f t="shared" si="34"/>
        <v>101000</v>
      </c>
      <c r="N112" s="13">
        <f t="shared" si="43"/>
        <v>627500</v>
      </c>
      <c r="O112" s="16">
        <v>627500</v>
      </c>
      <c r="P112" s="10">
        <f t="shared" si="33"/>
        <v>0</v>
      </c>
    </row>
    <row r="113" spans="1:16" s="14" customFormat="1" ht="15.75" customHeight="1" x14ac:dyDescent="0.25">
      <c r="A113" s="17">
        <v>46091</v>
      </c>
      <c r="B113" s="17" t="s">
        <v>5</v>
      </c>
      <c r="C113" s="18">
        <v>604</v>
      </c>
      <c r="D113" s="12">
        <v>160600</v>
      </c>
      <c r="E113" s="12">
        <v>163500</v>
      </c>
      <c r="F113" s="12">
        <v>0</v>
      </c>
      <c r="G113" s="12">
        <v>58000</v>
      </c>
      <c r="H113" s="19">
        <f t="shared" si="40"/>
        <v>221500</v>
      </c>
      <c r="I113" s="9">
        <f t="shared" si="41"/>
        <v>382100</v>
      </c>
      <c r="J113" s="12">
        <v>0</v>
      </c>
      <c r="K113" s="12">
        <v>0</v>
      </c>
      <c r="L113" s="12">
        <v>0</v>
      </c>
      <c r="M113" s="20">
        <f t="shared" si="34"/>
        <v>221500</v>
      </c>
      <c r="N113" s="13">
        <f t="shared" si="43"/>
        <v>160600</v>
      </c>
      <c r="O113" s="16">
        <v>160600</v>
      </c>
      <c r="P113" s="10">
        <f t="shared" si="33"/>
        <v>0</v>
      </c>
    </row>
    <row r="114" spans="1:16" s="14" customFormat="1" ht="15.75" customHeight="1" x14ac:dyDescent="0.25">
      <c r="A114" s="17">
        <v>46091</v>
      </c>
      <c r="B114" s="17" t="s">
        <v>4</v>
      </c>
      <c r="C114" s="18">
        <v>605</v>
      </c>
      <c r="D114" s="12">
        <v>270600</v>
      </c>
      <c r="E114" s="12">
        <v>147500</v>
      </c>
      <c r="F114" s="12">
        <v>50000</v>
      </c>
      <c r="G114" s="12">
        <v>121700</v>
      </c>
      <c r="H114" s="19">
        <f t="shared" si="40"/>
        <v>319200</v>
      </c>
      <c r="I114" s="9">
        <f t="shared" si="41"/>
        <v>589800</v>
      </c>
      <c r="J114" s="12">
        <v>0</v>
      </c>
      <c r="K114" s="12">
        <v>0</v>
      </c>
      <c r="L114" s="12">
        <v>0</v>
      </c>
      <c r="M114" s="20">
        <f t="shared" si="34"/>
        <v>319200</v>
      </c>
      <c r="N114" s="13">
        <f t="shared" si="43"/>
        <v>270600</v>
      </c>
      <c r="O114" s="16">
        <v>270600</v>
      </c>
      <c r="P114" s="10">
        <f t="shared" ref="P114:P128" si="44">(N114-O114)*(-1)</f>
        <v>0</v>
      </c>
    </row>
    <row r="115" spans="1:16" s="14" customFormat="1" ht="15.75" customHeight="1" x14ac:dyDescent="0.25">
      <c r="A115" s="17">
        <v>46092</v>
      </c>
      <c r="B115" s="17" t="s">
        <v>5</v>
      </c>
      <c r="C115" s="18">
        <v>606</v>
      </c>
      <c r="D115" s="12">
        <v>90400</v>
      </c>
      <c r="E115" s="12">
        <v>33000</v>
      </c>
      <c r="F115" s="12">
        <v>0</v>
      </c>
      <c r="G115" s="12">
        <v>39500</v>
      </c>
      <c r="H115" s="19">
        <f t="shared" si="40"/>
        <v>72500</v>
      </c>
      <c r="I115" s="9">
        <f t="shared" si="41"/>
        <v>162900</v>
      </c>
      <c r="J115" s="12">
        <v>0</v>
      </c>
      <c r="K115" s="12">
        <v>0</v>
      </c>
      <c r="L115" s="12">
        <v>0</v>
      </c>
      <c r="M115" s="20">
        <f t="shared" si="34"/>
        <v>72500</v>
      </c>
      <c r="N115" s="13">
        <f t="shared" si="43"/>
        <v>90400</v>
      </c>
      <c r="O115" s="16">
        <v>90500</v>
      </c>
      <c r="P115" s="10">
        <f t="shared" si="44"/>
        <v>100</v>
      </c>
    </row>
    <row r="116" spans="1:16" s="14" customFormat="1" ht="15.75" customHeight="1" x14ac:dyDescent="0.25">
      <c r="A116" s="17">
        <v>46092</v>
      </c>
      <c r="B116" s="17" t="s">
        <v>4</v>
      </c>
      <c r="C116" s="18">
        <v>607</v>
      </c>
      <c r="D116" s="12">
        <v>472900</v>
      </c>
      <c r="E116" s="12">
        <v>116900</v>
      </c>
      <c r="F116" s="12">
        <v>112700</v>
      </c>
      <c r="G116" s="12">
        <v>255400</v>
      </c>
      <c r="H116" s="19">
        <f t="shared" si="40"/>
        <v>485000</v>
      </c>
      <c r="I116" s="9">
        <f t="shared" si="41"/>
        <v>957900</v>
      </c>
      <c r="J116" s="12">
        <v>0</v>
      </c>
      <c r="K116" s="12">
        <v>78950</v>
      </c>
      <c r="L116" s="12">
        <v>0</v>
      </c>
      <c r="M116" s="20">
        <f t="shared" si="34"/>
        <v>485000</v>
      </c>
      <c r="N116" s="13">
        <f t="shared" si="43"/>
        <v>393950</v>
      </c>
      <c r="O116" s="16">
        <v>394000</v>
      </c>
      <c r="P116" s="10">
        <f t="shared" si="44"/>
        <v>50</v>
      </c>
    </row>
    <row r="117" spans="1:16" s="14" customFormat="1" ht="15.75" customHeight="1" x14ac:dyDescent="0.25">
      <c r="A117" s="17">
        <v>46093</v>
      </c>
      <c r="B117" s="17" t="s">
        <v>173</v>
      </c>
      <c r="C117" s="18">
        <v>608</v>
      </c>
      <c r="D117" s="12">
        <v>179500</v>
      </c>
      <c r="E117" s="12">
        <v>65500</v>
      </c>
      <c r="F117" s="12">
        <v>0</v>
      </c>
      <c r="G117" s="12">
        <v>12000</v>
      </c>
      <c r="H117" s="19">
        <f t="shared" si="40"/>
        <v>77500</v>
      </c>
      <c r="I117" s="9">
        <f t="shared" si="41"/>
        <v>257000</v>
      </c>
      <c r="J117" s="12">
        <v>0</v>
      </c>
      <c r="K117" s="12">
        <v>0</v>
      </c>
      <c r="L117" s="12">
        <v>0</v>
      </c>
      <c r="M117" s="20">
        <f t="shared" si="34"/>
        <v>77500</v>
      </c>
      <c r="N117" s="13">
        <f t="shared" si="43"/>
        <v>179500</v>
      </c>
      <c r="O117" s="16">
        <v>179500</v>
      </c>
      <c r="P117" s="10">
        <f t="shared" si="44"/>
        <v>0</v>
      </c>
    </row>
    <row r="118" spans="1:16" s="14" customFormat="1" ht="15.75" customHeight="1" x14ac:dyDescent="0.25">
      <c r="A118" s="17">
        <v>46093</v>
      </c>
      <c r="B118" s="17" t="s">
        <v>4</v>
      </c>
      <c r="C118" s="18">
        <v>609</v>
      </c>
      <c r="D118" s="12">
        <v>469300</v>
      </c>
      <c r="E118" s="12">
        <v>292500</v>
      </c>
      <c r="F118" s="12">
        <v>12500</v>
      </c>
      <c r="G118" s="12">
        <v>96000</v>
      </c>
      <c r="H118" s="19">
        <f t="shared" si="40"/>
        <v>401000</v>
      </c>
      <c r="I118" s="9">
        <f t="shared" si="41"/>
        <v>870300</v>
      </c>
      <c r="J118" s="12">
        <v>2372100</v>
      </c>
      <c r="K118" s="12">
        <v>0</v>
      </c>
      <c r="L118" s="12">
        <v>0</v>
      </c>
      <c r="M118" s="20">
        <f t="shared" si="34"/>
        <v>-1971100</v>
      </c>
      <c r="N118" s="13">
        <f t="shared" si="43"/>
        <v>469300</v>
      </c>
      <c r="O118" s="16">
        <v>472900</v>
      </c>
      <c r="P118" s="10">
        <f t="shared" si="44"/>
        <v>3600</v>
      </c>
    </row>
    <row r="119" spans="1:16" s="14" customFormat="1" ht="15.75" customHeight="1" x14ac:dyDescent="0.25">
      <c r="A119" s="17">
        <v>46094</v>
      </c>
      <c r="B119" s="17" t="s">
        <v>5</v>
      </c>
      <c r="C119" s="18">
        <v>610</v>
      </c>
      <c r="D119" s="12">
        <v>318700</v>
      </c>
      <c r="E119" s="12">
        <v>44000</v>
      </c>
      <c r="F119" s="12">
        <v>99000</v>
      </c>
      <c r="G119" s="12">
        <v>33400</v>
      </c>
      <c r="H119" s="19">
        <f t="shared" si="40"/>
        <v>176400</v>
      </c>
      <c r="I119" s="9">
        <f t="shared" si="41"/>
        <v>495100</v>
      </c>
      <c r="J119" s="12">
        <v>0</v>
      </c>
      <c r="K119" s="12">
        <v>0</v>
      </c>
      <c r="L119" s="12">
        <v>1043800</v>
      </c>
      <c r="M119" s="20">
        <f t="shared" si="34"/>
        <v>176400</v>
      </c>
      <c r="N119" s="13">
        <f t="shared" si="43"/>
        <v>318700</v>
      </c>
      <c r="O119" s="16">
        <v>318700</v>
      </c>
      <c r="P119" s="10">
        <f t="shared" si="44"/>
        <v>0</v>
      </c>
    </row>
    <row r="120" spans="1:16" s="14" customFormat="1" ht="15.75" customHeight="1" x14ac:dyDescent="0.25">
      <c r="A120" s="17">
        <v>46094</v>
      </c>
      <c r="B120" s="17" t="s">
        <v>4</v>
      </c>
      <c r="C120" s="18">
        <v>611</v>
      </c>
      <c r="D120" s="12">
        <v>493100</v>
      </c>
      <c r="E120" s="12">
        <v>80500</v>
      </c>
      <c r="F120" s="12">
        <v>8500</v>
      </c>
      <c r="G120" s="12">
        <v>114000</v>
      </c>
      <c r="H120" s="19">
        <f t="shared" si="40"/>
        <v>203000</v>
      </c>
      <c r="I120" s="9">
        <f t="shared" si="41"/>
        <v>696100</v>
      </c>
      <c r="J120" s="12">
        <v>144976</v>
      </c>
      <c r="K120" s="12">
        <v>20000</v>
      </c>
      <c r="L120" s="12">
        <v>745850</v>
      </c>
      <c r="M120" s="20">
        <f t="shared" si="34"/>
        <v>58024</v>
      </c>
      <c r="N120" s="13">
        <f t="shared" si="43"/>
        <v>473100</v>
      </c>
      <c r="O120" s="16">
        <v>473100</v>
      </c>
      <c r="P120" s="10">
        <f t="shared" si="44"/>
        <v>0</v>
      </c>
    </row>
    <row r="121" spans="1:16" s="14" customFormat="1" ht="15.75" customHeight="1" x14ac:dyDescent="0.25">
      <c r="A121" s="17">
        <v>46095</v>
      </c>
      <c r="B121" s="17" t="s">
        <v>5</v>
      </c>
      <c r="C121" s="18">
        <v>612</v>
      </c>
      <c r="D121" s="12">
        <v>498100</v>
      </c>
      <c r="E121" s="12">
        <v>293500</v>
      </c>
      <c r="F121" s="12">
        <v>180500</v>
      </c>
      <c r="G121" s="12">
        <v>156000</v>
      </c>
      <c r="H121" s="19">
        <f t="shared" si="40"/>
        <v>630000</v>
      </c>
      <c r="I121" s="9">
        <f t="shared" si="41"/>
        <v>1128100</v>
      </c>
      <c r="J121" s="12">
        <v>0</v>
      </c>
      <c r="K121" s="12">
        <v>0</v>
      </c>
      <c r="L121" s="12">
        <v>40000</v>
      </c>
      <c r="M121" s="20">
        <f t="shared" si="34"/>
        <v>630000</v>
      </c>
      <c r="N121" s="13">
        <f t="shared" si="43"/>
        <v>498100</v>
      </c>
      <c r="O121" s="16">
        <v>498100</v>
      </c>
      <c r="P121" s="10">
        <f t="shared" si="44"/>
        <v>0</v>
      </c>
    </row>
    <row r="122" spans="1:16" s="14" customFormat="1" ht="15.75" customHeight="1" x14ac:dyDescent="0.25">
      <c r="A122" s="17">
        <v>46096</v>
      </c>
      <c r="B122" s="17" t="s">
        <v>4</v>
      </c>
      <c r="C122" s="18">
        <v>613</v>
      </c>
      <c r="D122" s="12">
        <v>533700</v>
      </c>
      <c r="E122" s="12">
        <v>228900</v>
      </c>
      <c r="F122" s="12">
        <v>0</v>
      </c>
      <c r="G122" s="12">
        <v>12500</v>
      </c>
      <c r="H122" s="19">
        <f t="shared" si="40"/>
        <v>241400</v>
      </c>
      <c r="I122" s="9">
        <f t="shared" si="41"/>
        <v>775100</v>
      </c>
      <c r="J122" s="12">
        <v>0</v>
      </c>
      <c r="K122" s="12">
        <v>0</v>
      </c>
      <c r="L122" s="12">
        <v>200000</v>
      </c>
      <c r="M122" s="20">
        <f t="shared" si="34"/>
        <v>241400</v>
      </c>
      <c r="N122" s="13">
        <f t="shared" si="43"/>
        <v>533700</v>
      </c>
      <c r="O122" s="16">
        <v>533700</v>
      </c>
      <c r="P122" s="10">
        <f t="shared" si="44"/>
        <v>0</v>
      </c>
    </row>
    <row r="123" spans="1:16" s="14" customFormat="1" ht="15.75" customHeight="1" x14ac:dyDescent="0.25">
      <c r="A123" s="17">
        <v>46097</v>
      </c>
      <c r="B123" s="17" t="s">
        <v>4</v>
      </c>
      <c r="C123" s="18">
        <v>614</v>
      </c>
      <c r="D123" s="12">
        <v>309400</v>
      </c>
      <c r="E123" s="12">
        <v>301000</v>
      </c>
      <c r="F123" s="12">
        <v>0</v>
      </c>
      <c r="G123" s="12">
        <v>0</v>
      </c>
      <c r="H123" s="19">
        <f t="shared" si="40"/>
        <v>301000</v>
      </c>
      <c r="I123" s="9">
        <f t="shared" si="41"/>
        <v>610400</v>
      </c>
      <c r="J123" s="12">
        <v>0</v>
      </c>
      <c r="K123" s="12">
        <v>0</v>
      </c>
      <c r="L123" s="12">
        <f>3000000+150000</f>
        <v>3150000</v>
      </c>
      <c r="M123" s="20">
        <f t="shared" si="34"/>
        <v>301000</v>
      </c>
      <c r="N123" s="13">
        <f t="shared" si="43"/>
        <v>309400</v>
      </c>
      <c r="O123" s="16">
        <v>309400</v>
      </c>
      <c r="P123" s="10">
        <f t="shared" si="44"/>
        <v>0</v>
      </c>
    </row>
    <row r="124" spans="1:16" s="14" customFormat="1" ht="15.75" customHeight="1" x14ac:dyDescent="0.25">
      <c r="A124" s="17">
        <v>46097</v>
      </c>
      <c r="B124" s="17" t="s">
        <v>5</v>
      </c>
      <c r="C124" s="18">
        <v>615</v>
      </c>
      <c r="D124" s="12">
        <v>234200</v>
      </c>
      <c r="E124" s="12">
        <v>115500</v>
      </c>
      <c r="F124" s="12">
        <v>0</v>
      </c>
      <c r="G124" s="12">
        <v>107500</v>
      </c>
      <c r="H124" s="19">
        <f t="shared" si="40"/>
        <v>223000</v>
      </c>
      <c r="I124" s="9">
        <f t="shared" si="41"/>
        <v>457200</v>
      </c>
      <c r="J124" s="12">
        <f>274376+201872+103644</f>
        <v>579892</v>
      </c>
      <c r="K124" s="12">
        <v>10000</v>
      </c>
      <c r="L124" s="12">
        <v>180000</v>
      </c>
      <c r="M124" s="20">
        <f t="shared" si="34"/>
        <v>-356892</v>
      </c>
      <c r="N124" s="13">
        <f t="shared" si="43"/>
        <v>224200</v>
      </c>
      <c r="O124" s="16">
        <v>224200</v>
      </c>
      <c r="P124" s="10">
        <f t="shared" si="44"/>
        <v>0</v>
      </c>
    </row>
    <row r="125" spans="1:16" s="14" customFormat="1" ht="15.75" customHeight="1" x14ac:dyDescent="0.25">
      <c r="A125" s="17">
        <v>46098</v>
      </c>
      <c r="B125" s="17" t="s">
        <v>4</v>
      </c>
      <c r="C125" s="18">
        <v>616</v>
      </c>
      <c r="D125" s="12">
        <v>295200</v>
      </c>
      <c r="E125" s="12">
        <v>136600</v>
      </c>
      <c r="F125" s="12">
        <v>63400</v>
      </c>
      <c r="G125" s="12">
        <v>37000</v>
      </c>
      <c r="H125" s="19">
        <f t="shared" si="40"/>
        <v>237000</v>
      </c>
      <c r="I125" s="9">
        <f t="shared" si="41"/>
        <v>532200</v>
      </c>
      <c r="J125" s="12">
        <v>0</v>
      </c>
      <c r="K125" s="12">
        <v>0</v>
      </c>
      <c r="L125" s="12">
        <v>192500</v>
      </c>
      <c r="M125" s="20">
        <f t="shared" si="34"/>
        <v>237000</v>
      </c>
      <c r="N125" s="13">
        <f t="shared" si="43"/>
        <v>295200</v>
      </c>
      <c r="O125" s="16">
        <v>295200</v>
      </c>
      <c r="P125" s="10">
        <f t="shared" si="44"/>
        <v>0</v>
      </c>
    </row>
    <row r="126" spans="1:16" s="14" customFormat="1" ht="15.75" customHeight="1" x14ac:dyDescent="0.25">
      <c r="A126" s="17">
        <v>46098</v>
      </c>
      <c r="B126" s="17" t="s">
        <v>5</v>
      </c>
      <c r="C126" s="18">
        <v>617</v>
      </c>
      <c r="D126" s="12">
        <v>255400</v>
      </c>
      <c r="E126" s="12">
        <v>18500</v>
      </c>
      <c r="F126" s="12">
        <v>0</v>
      </c>
      <c r="G126" s="12">
        <v>79100</v>
      </c>
      <c r="H126" s="19">
        <f t="shared" si="40"/>
        <v>97600</v>
      </c>
      <c r="I126" s="9">
        <f t="shared" si="41"/>
        <v>353000</v>
      </c>
      <c r="J126" s="12">
        <v>0</v>
      </c>
      <c r="K126" s="12">
        <v>0</v>
      </c>
      <c r="L126" s="12">
        <v>0</v>
      </c>
      <c r="M126" s="20">
        <f t="shared" si="34"/>
        <v>97600</v>
      </c>
      <c r="N126" s="13">
        <f t="shared" si="43"/>
        <v>255400</v>
      </c>
      <c r="O126" s="16">
        <v>255500</v>
      </c>
      <c r="P126" s="10">
        <f t="shared" si="44"/>
        <v>100</v>
      </c>
    </row>
    <row r="127" spans="1:16" s="14" customFormat="1" ht="15.75" customHeight="1" x14ac:dyDescent="0.25">
      <c r="A127" s="17">
        <v>46099</v>
      </c>
      <c r="B127" s="17" t="s">
        <v>4</v>
      </c>
      <c r="C127" s="18">
        <v>618</v>
      </c>
      <c r="D127" s="12">
        <v>334900</v>
      </c>
      <c r="E127" s="12">
        <v>212000</v>
      </c>
      <c r="F127" s="12">
        <v>23000</v>
      </c>
      <c r="G127" s="12">
        <v>40000</v>
      </c>
      <c r="H127" s="19">
        <f t="shared" si="40"/>
        <v>275000</v>
      </c>
      <c r="I127" s="9">
        <f t="shared" si="41"/>
        <v>609900</v>
      </c>
      <c r="J127" s="12">
        <v>0</v>
      </c>
      <c r="K127" s="12">
        <v>0</v>
      </c>
      <c r="L127" s="12">
        <v>40000</v>
      </c>
      <c r="M127" s="20">
        <f t="shared" si="34"/>
        <v>275000</v>
      </c>
      <c r="N127" s="13">
        <f t="shared" si="43"/>
        <v>334900</v>
      </c>
      <c r="O127" s="16">
        <v>334900</v>
      </c>
      <c r="P127" s="10">
        <f t="shared" si="44"/>
        <v>0</v>
      </c>
    </row>
    <row r="128" spans="1:16" s="14" customFormat="1" ht="15.75" customHeight="1" x14ac:dyDescent="0.25">
      <c r="A128" s="17">
        <v>46099</v>
      </c>
      <c r="B128" s="17" t="s">
        <v>5</v>
      </c>
      <c r="C128" s="18">
        <v>619</v>
      </c>
      <c r="D128" s="12">
        <v>339800</v>
      </c>
      <c r="E128" s="12">
        <v>49000</v>
      </c>
      <c r="F128" s="12">
        <v>0</v>
      </c>
      <c r="G128" s="12">
        <v>134000</v>
      </c>
      <c r="H128" s="19">
        <f t="shared" si="40"/>
        <v>183000</v>
      </c>
      <c r="I128" s="9">
        <f t="shared" si="41"/>
        <v>522800</v>
      </c>
      <c r="J128" s="12">
        <v>0</v>
      </c>
      <c r="K128" s="12">
        <v>0</v>
      </c>
      <c r="L128" s="12">
        <v>0</v>
      </c>
      <c r="M128" s="20">
        <f t="shared" si="34"/>
        <v>183000</v>
      </c>
      <c r="N128" s="13">
        <f t="shared" si="43"/>
        <v>339800</v>
      </c>
      <c r="O128" s="16">
        <v>339800</v>
      </c>
      <c r="P128" s="10">
        <f t="shared" si="44"/>
        <v>0</v>
      </c>
    </row>
    <row r="129" spans="1:16" s="14" customFormat="1" ht="15.75" customHeight="1" x14ac:dyDescent="0.25">
      <c r="A129" s="17">
        <v>46100</v>
      </c>
      <c r="B129" s="17" t="s">
        <v>4</v>
      </c>
      <c r="C129" s="18">
        <v>620</v>
      </c>
      <c r="D129" s="12">
        <v>233000</v>
      </c>
      <c r="E129" s="12">
        <v>25000</v>
      </c>
      <c r="F129" s="12">
        <v>0</v>
      </c>
      <c r="G129" s="12">
        <v>85900</v>
      </c>
      <c r="H129" s="19">
        <f t="shared" ref="H129:H383" si="45">E129+F129+G129</f>
        <v>110900</v>
      </c>
      <c r="I129" s="9">
        <f t="shared" ref="I129:I149" si="46">D129+H129</f>
        <v>343900</v>
      </c>
      <c r="J129" s="12">
        <v>570588</v>
      </c>
      <c r="K129" s="12">
        <v>0</v>
      </c>
      <c r="L129" s="12">
        <v>500000</v>
      </c>
      <c r="M129" s="20">
        <f t="shared" si="34"/>
        <v>-459688</v>
      </c>
      <c r="N129" s="13">
        <f t="shared" ref="N129:N149" si="47">D129-K129</f>
        <v>233000</v>
      </c>
      <c r="O129" s="16">
        <v>233000</v>
      </c>
      <c r="P129" s="10">
        <f t="shared" ref="P129:P201" si="48">(N129-O129)*(-1)</f>
        <v>0</v>
      </c>
    </row>
    <row r="130" spans="1:16" s="14" customFormat="1" ht="15.75" customHeight="1" x14ac:dyDescent="0.25">
      <c r="A130" s="17">
        <v>46100</v>
      </c>
      <c r="B130" s="17" t="s">
        <v>5</v>
      </c>
      <c r="C130" s="18">
        <v>621</v>
      </c>
      <c r="D130" s="12">
        <v>279200</v>
      </c>
      <c r="E130" s="12">
        <v>48000</v>
      </c>
      <c r="F130" s="12"/>
      <c r="G130" s="12">
        <v>147400</v>
      </c>
      <c r="H130" s="19">
        <f t="shared" si="45"/>
        <v>195400</v>
      </c>
      <c r="I130" s="9">
        <f t="shared" si="46"/>
        <v>474600</v>
      </c>
      <c r="J130" s="12">
        <v>0</v>
      </c>
      <c r="K130" s="12">
        <v>0</v>
      </c>
      <c r="L130" s="12">
        <v>0</v>
      </c>
      <c r="M130" s="20">
        <f t="shared" si="34"/>
        <v>195400</v>
      </c>
      <c r="N130" s="13">
        <f t="shared" si="47"/>
        <v>279200</v>
      </c>
      <c r="O130" s="16">
        <v>279200</v>
      </c>
      <c r="P130" s="10">
        <f t="shared" si="48"/>
        <v>0</v>
      </c>
    </row>
    <row r="131" spans="1:16" s="14" customFormat="1" ht="15.75" customHeight="1" x14ac:dyDescent="0.25">
      <c r="A131" s="17">
        <v>46101</v>
      </c>
      <c r="B131" s="17" t="s">
        <v>4</v>
      </c>
      <c r="C131" s="18">
        <v>622</v>
      </c>
      <c r="D131" s="12">
        <v>462000</v>
      </c>
      <c r="E131" s="12">
        <v>199500</v>
      </c>
      <c r="F131" s="12">
        <v>0</v>
      </c>
      <c r="G131" s="12">
        <v>42400</v>
      </c>
      <c r="H131" s="19">
        <f t="shared" si="45"/>
        <v>241900</v>
      </c>
      <c r="I131" s="9">
        <f t="shared" si="46"/>
        <v>703900</v>
      </c>
      <c r="J131" s="12">
        <v>158900</v>
      </c>
      <c r="K131" s="12">
        <v>0</v>
      </c>
      <c r="L131" s="12">
        <v>0</v>
      </c>
      <c r="M131" s="20">
        <f t="shared" si="34"/>
        <v>83000</v>
      </c>
      <c r="N131" s="13">
        <f t="shared" si="47"/>
        <v>462000</v>
      </c>
      <c r="O131" s="16">
        <v>462000</v>
      </c>
      <c r="P131" s="10">
        <f t="shared" si="48"/>
        <v>0</v>
      </c>
    </row>
    <row r="132" spans="1:16" s="14" customFormat="1" ht="15.75" customHeight="1" x14ac:dyDescent="0.25">
      <c r="A132" s="17">
        <v>46101</v>
      </c>
      <c r="B132" s="17" t="s">
        <v>5</v>
      </c>
      <c r="C132" s="18">
        <v>623</v>
      </c>
      <c r="D132" s="12">
        <v>494700</v>
      </c>
      <c r="E132" s="12">
        <v>46400</v>
      </c>
      <c r="F132" s="12">
        <v>173000</v>
      </c>
      <c r="G132" s="12">
        <v>18000</v>
      </c>
      <c r="H132" s="19">
        <f t="shared" si="45"/>
        <v>237400</v>
      </c>
      <c r="I132" s="9">
        <f t="shared" si="46"/>
        <v>732100</v>
      </c>
      <c r="J132" s="12">
        <v>0</v>
      </c>
      <c r="K132" s="12">
        <v>0</v>
      </c>
      <c r="L132" s="12">
        <f>148700+83200+59500</f>
        <v>291400</v>
      </c>
      <c r="M132" s="20">
        <f t="shared" ref="M132:M151" si="49">H132-J132</f>
        <v>237400</v>
      </c>
      <c r="N132" s="13">
        <f t="shared" si="47"/>
        <v>494700</v>
      </c>
      <c r="O132" s="16">
        <v>494700</v>
      </c>
      <c r="P132" s="10">
        <f t="shared" si="48"/>
        <v>0</v>
      </c>
    </row>
    <row r="133" spans="1:16" s="14" customFormat="1" ht="15.75" customHeight="1" x14ac:dyDescent="0.25">
      <c r="A133" s="17">
        <v>46102</v>
      </c>
      <c r="B133" s="17" t="s">
        <v>4</v>
      </c>
      <c r="C133" s="18">
        <v>624</v>
      </c>
      <c r="D133" s="12">
        <v>673800</v>
      </c>
      <c r="E133" s="12">
        <v>276000</v>
      </c>
      <c r="F133" s="12">
        <v>0</v>
      </c>
      <c r="G133" s="12">
        <v>165500</v>
      </c>
      <c r="H133" s="19">
        <f t="shared" si="45"/>
        <v>441500</v>
      </c>
      <c r="I133" s="9">
        <f t="shared" si="46"/>
        <v>1115300</v>
      </c>
      <c r="J133" s="12">
        <v>0</v>
      </c>
      <c r="K133" s="12">
        <v>0</v>
      </c>
      <c r="L133" s="12">
        <v>0</v>
      </c>
      <c r="M133" s="20">
        <f t="shared" si="49"/>
        <v>441500</v>
      </c>
      <c r="N133" s="13">
        <f t="shared" si="47"/>
        <v>673800</v>
      </c>
      <c r="O133" s="16">
        <v>674000</v>
      </c>
      <c r="P133" s="10">
        <f t="shared" si="48"/>
        <v>200</v>
      </c>
    </row>
    <row r="134" spans="1:16" s="14" customFormat="1" ht="15.75" customHeight="1" x14ac:dyDescent="0.25">
      <c r="A134" s="17">
        <v>46102</v>
      </c>
      <c r="B134" s="17" t="s">
        <v>4</v>
      </c>
      <c r="C134" s="18">
        <v>625</v>
      </c>
      <c r="D134" s="12">
        <v>45300</v>
      </c>
      <c r="E134" s="12">
        <v>8000</v>
      </c>
      <c r="F134" s="12">
        <v>0</v>
      </c>
      <c r="G134" s="12">
        <v>90000</v>
      </c>
      <c r="H134" s="19">
        <f t="shared" si="45"/>
        <v>98000</v>
      </c>
      <c r="I134" s="9">
        <f t="shared" si="46"/>
        <v>143300</v>
      </c>
      <c r="J134" s="12">
        <v>0</v>
      </c>
      <c r="K134" s="12">
        <v>0</v>
      </c>
      <c r="L134" s="12">
        <v>0</v>
      </c>
      <c r="M134" s="20">
        <f t="shared" si="49"/>
        <v>98000</v>
      </c>
      <c r="N134" s="13">
        <f t="shared" si="47"/>
        <v>45300</v>
      </c>
      <c r="O134" s="16">
        <v>45300</v>
      </c>
      <c r="P134" s="10">
        <f t="shared" si="48"/>
        <v>0</v>
      </c>
    </row>
    <row r="135" spans="1:16" s="14" customFormat="1" ht="15.75" customHeight="1" x14ac:dyDescent="0.25">
      <c r="A135" s="17">
        <v>46103</v>
      </c>
      <c r="B135" s="17" t="s">
        <v>5</v>
      </c>
      <c r="C135" s="18">
        <v>626</v>
      </c>
      <c r="D135" s="12">
        <v>325000</v>
      </c>
      <c r="E135" s="12">
        <v>243900</v>
      </c>
      <c r="F135" s="12">
        <v>134000</v>
      </c>
      <c r="G135" s="12">
        <v>63200</v>
      </c>
      <c r="H135" s="19">
        <f t="shared" si="45"/>
        <v>441100</v>
      </c>
      <c r="I135" s="9">
        <f t="shared" si="46"/>
        <v>766100</v>
      </c>
      <c r="J135" s="12">
        <v>0</v>
      </c>
      <c r="K135" s="12">
        <v>0</v>
      </c>
      <c r="L135" s="12">
        <v>0</v>
      </c>
      <c r="M135" s="20">
        <f t="shared" si="49"/>
        <v>441100</v>
      </c>
      <c r="N135" s="13">
        <f t="shared" si="47"/>
        <v>325000</v>
      </c>
      <c r="O135" s="16">
        <v>325000</v>
      </c>
      <c r="P135" s="10">
        <f t="shared" si="48"/>
        <v>0</v>
      </c>
    </row>
    <row r="136" spans="1:16" s="14" customFormat="1" ht="15.75" customHeight="1" x14ac:dyDescent="0.25">
      <c r="A136" s="17">
        <v>46104</v>
      </c>
      <c r="B136" s="17" t="s">
        <v>5</v>
      </c>
      <c r="C136" s="18">
        <v>627</v>
      </c>
      <c r="D136" s="12">
        <v>84600</v>
      </c>
      <c r="E136" s="12">
        <v>67400</v>
      </c>
      <c r="F136" s="12">
        <v>0</v>
      </c>
      <c r="G136" s="12">
        <v>92900</v>
      </c>
      <c r="H136" s="19">
        <f t="shared" si="45"/>
        <v>160300</v>
      </c>
      <c r="I136" s="9">
        <f t="shared" si="46"/>
        <v>244900</v>
      </c>
      <c r="J136" s="12">
        <v>0</v>
      </c>
      <c r="K136" s="12">
        <v>0</v>
      </c>
      <c r="L136" s="12">
        <v>10000</v>
      </c>
      <c r="M136" s="20">
        <f t="shared" si="49"/>
        <v>160300</v>
      </c>
      <c r="N136" s="13">
        <f t="shared" si="47"/>
        <v>84600</v>
      </c>
      <c r="O136" s="16">
        <v>84600</v>
      </c>
      <c r="P136" s="10">
        <f t="shared" si="48"/>
        <v>0</v>
      </c>
    </row>
    <row r="137" spans="1:16" s="14" customFormat="1" ht="15.75" customHeight="1" x14ac:dyDescent="0.25">
      <c r="A137" s="17">
        <v>46104</v>
      </c>
      <c r="B137" s="17" t="s">
        <v>4</v>
      </c>
      <c r="C137" s="18">
        <v>628</v>
      </c>
      <c r="D137" s="12">
        <v>259200</v>
      </c>
      <c r="E137" s="12">
        <v>299900</v>
      </c>
      <c r="F137" s="12">
        <v>0</v>
      </c>
      <c r="G137" s="12">
        <v>30000</v>
      </c>
      <c r="H137" s="19">
        <f t="shared" si="45"/>
        <v>329900</v>
      </c>
      <c r="I137" s="9">
        <f t="shared" si="46"/>
        <v>589100</v>
      </c>
      <c r="J137" s="12">
        <v>0</v>
      </c>
      <c r="K137" s="12">
        <v>2000</v>
      </c>
      <c r="L137" s="12">
        <v>0</v>
      </c>
      <c r="M137" s="20">
        <f t="shared" si="49"/>
        <v>329900</v>
      </c>
      <c r="N137" s="13">
        <f t="shared" si="47"/>
        <v>257200</v>
      </c>
      <c r="O137" s="16">
        <v>257200</v>
      </c>
      <c r="P137" s="10">
        <f t="shared" si="48"/>
        <v>0</v>
      </c>
    </row>
    <row r="138" spans="1:16" s="14" customFormat="1" ht="15.75" customHeight="1" x14ac:dyDescent="0.25">
      <c r="A138" s="17">
        <v>46105</v>
      </c>
      <c r="B138" s="17" t="s">
        <v>5</v>
      </c>
      <c r="C138" s="18">
        <v>629</v>
      </c>
      <c r="D138" s="12">
        <v>160900</v>
      </c>
      <c r="E138" s="12">
        <v>131200</v>
      </c>
      <c r="F138" s="12">
        <v>13900</v>
      </c>
      <c r="G138" s="12">
        <v>139000</v>
      </c>
      <c r="H138" s="19">
        <f t="shared" si="45"/>
        <v>284100</v>
      </c>
      <c r="I138" s="9">
        <f t="shared" si="46"/>
        <v>445000</v>
      </c>
      <c r="J138" s="12">
        <v>0</v>
      </c>
      <c r="K138" s="12">
        <v>0</v>
      </c>
      <c r="L138" s="12">
        <v>64000</v>
      </c>
      <c r="M138" s="20">
        <f t="shared" si="49"/>
        <v>284100</v>
      </c>
      <c r="N138" s="13">
        <f t="shared" si="47"/>
        <v>160900</v>
      </c>
      <c r="O138" s="16">
        <v>160900</v>
      </c>
      <c r="P138" s="10">
        <f t="shared" si="48"/>
        <v>0</v>
      </c>
    </row>
    <row r="139" spans="1:16" s="14" customFormat="1" ht="15.75" customHeight="1" x14ac:dyDescent="0.25">
      <c r="A139" s="17">
        <v>46105</v>
      </c>
      <c r="B139" s="17" t="s">
        <v>4</v>
      </c>
      <c r="C139" s="18">
        <v>630</v>
      </c>
      <c r="D139" s="12">
        <f>370800-30000</f>
        <v>340800</v>
      </c>
      <c r="E139" s="12">
        <v>236400</v>
      </c>
      <c r="F139" s="12">
        <v>0</v>
      </c>
      <c r="G139" s="12">
        <v>167900</v>
      </c>
      <c r="H139" s="19">
        <f t="shared" si="45"/>
        <v>404300</v>
      </c>
      <c r="I139" s="9">
        <f t="shared" si="46"/>
        <v>745100</v>
      </c>
      <c r="J139" s="12">
        <f>1753822+1183600+3000</f>
        <v>2940422</v>
      </c>
      <c r="K139" s="12">
        <v>0</v>
      </c>
      <c r="L139" s="12">
        <v>3092000</v>
      </c>
      <c r="M139" s="20">
        <f t="shared" si="49"/>
        <v>-2536122</v>
      </c>
      <c r="N139" s="13">
        <f t="shared" si="47"/>
        <v>340800</v>
      </c>
      <c r="O139" s="16">
        <v>340800</v>
      </c>
      <c r="P139" s="10">
        <f t="shared" si="48"/>
        <v>0</v>
      </c>
    </row>
    <row r="140" spans="1:16" s="14" customFormat="1" ht="15.75" customHeight="1" x14ac:dyDescent="0.25">
      <c r="A140" s="17">
        <v>46106</v>
      </c>
      <c r="B140" s="17" t="s">
        <v>5</v>
      </c>
      <c r="C140" s="18">
        <v>631</v>
      </c>
      <c r="D140" s="12">
        <v>259800</v>
      </c>
      <c r="E140" s="12">
        <v>51000</v>
      </c>
      <c r="F140" s="12">
        <v>0</v>
      </c>
      <c r="G140" s="12">
        <v>29000</v>
      </c>
      <c r="H140" s="19">
        <f t="shared" si="45"/>
        <v>80000</v>
      </c>
      <c r="I140" s="9">
        <f t="shared" si="46"/>
        <v>339800</v>
      </c>
      <c r="J140" s="12">
        <v>0</v>
      </c>
      <c r="K140" s="12">
        <v>0</v>
      </c>
      <c r="L140" s="12">
        <f>124800+44000</f>
        <v>168800</v>
      </c>
      <c r="M140" s="20">
        <f t="shared" si="49"/>
        <v>80000</v>
      </c>
      <c r="N140" s="13">
        <f t="shared" si="47"/>
        <v>259800</v>
      </c>
      <c r="O140" s="16">
        <v>259800</v>
      </c>
      <c r="P140" s="10">
        <f t="shared" si="48"/>
        <v>0</v>
      </c>
    </row>
    <row r="141" spans="1:16" s="14" customFormat="1" ht="15.75" customHeight="1" x14ac:dyDescent="0.25">
      <c r="A141" s="17">
        <v>46106</v>
      </c>
      <c r="B141" s="17" t="s">
        <v>4</v>
      </c>
      <c r="C141" s="18">
        <v>632</v>
      </c>
      <c r="D141" s="12">
        <v>262200</v>
      </c>
      <c r="E141" s="12">
        <v>272100</v>
      </c>
      <c r="F141" s="12">
        <v>0</v>
      </c>
      <c r="G141" s="12">
        <v>83800</v>
      </c>
      <c r="H141" s="19">
        <f t="shared" si="45"/>
        <v>355900</v>
      </c>
      <c r="I141" s="9">
        <f t="shared" si="46"/>
        <v>618100</v>
      </c>
      <c r="J141" s="12">
        <v>0</v>
      </c>
      <c r="K141" s="12">
        <v>8000</v>
      </c>
      <c r="L141" s="12">
        <v>0</v>
      </c>
      <c r="M141" s="20">
        <f t="shared" si="49"/>
        <v>355900</v>
      </c>
      <c r="N141" s="13">
        <f t="shared" si="47"/>
        <v>254200</v>
      </c>
      <c r="O141" s="16">
        <v>254200</v>
      </c>
      <c r="P141" s="10">
        <f t="shared" si="48"/>
        <v>0</v>
      </c>
    </row>
    <row r="142" spans="1:16" s="14" customFormat="1" ht="15.75" customHeight="1" x14ac:dyDescent="0.25">
      <c r="A142" s="17">
        <v>46107</v>
      </c>
      <c r="B142" s="17" t="s">
        <v>5</v>
      </c>
      <c r="C142" s="18">
        <v>633</v>
      </c>
      <c r="D142" s="12">
        <v>152000</v>
      </c>
      <c r="E142" s="12">
        <v>222600</v>
      </c>
      <c r="F142" s="12">
        <v>0</v>
      </c>
      <c r="G142" s="12">
        <v>71000</v>
      </c>
      <c r="H142" s="19">
        <f t="shared" si="45"/>
        <v>293600</v>
      </c>
      <c r="I142" s="9">
        <f t="shared" si="46"/>
        <v>445600</v>
      </c>
      <c r="J142" s="12">
        <f>120000+300000</f>
        <v>420000</v>
      </c>
      <c r="K142" s="12">
        <v>0</v>
      </c>
      <c r="L142" s="12">
        <v>0</v>
      </c>
      <c r="M142" s="20">
        <f t="shared" si="49"/>
        <v>-126400</v>
      </c>
      <c r="N142" s="13">
        <f t="shared" si="47"/>
        <v>152000</v>
      </c>
      <c r="O142" s="16">
        <v>152000</v>
      </c>
      <c r="P142" s="10">
        <f t="shared" si="48"/>
        <v>0</v>
      </c>
    </row>
    <row r="143" spans="1:16" s="14" customFormat="1" ht="15.75" customHeight="1" x14ac:dyDescent="0.25">
      <c r="A143" s="17">
        <v>46107</v>
      </c>
      <c r="B143" s="17" t="s">
        <v>4</v>
      </c>
      <c r="C143" s="18">
        <v>634</v>
      </c>
      <c r="D143" s="12">
        <v>160600</v>
      </c>
      <c r="E143" s="12">
        <v>154800</v>
      </c>
      <c r="F143" s="12">
        <v>0</v>
      </c>
      <c r="G143" s="12">
        <v>85100</v>
      </c>
      <c r="H143" s="19">
        <f t="shared" si="45"/>
        <v>239900</v>
      </c>
      <c r="I143" s="9">
        <f t="shared" si="46"/>
        <v>400500</v>
      </c>
      <c r="J143" s="12">
        <v>0</v>
      </c>
      <c r="K143" s="12">
        <v>0</v>
      </c>
      <c r="L143" s="12">
        <v>0</v>
      </c>
      <c r="M143" s="20">
        <f t="shared" si="49"/>
        <v>239900</v>
      </c>
      <c r="N143" s="13">
        <f t="shared" si="47"/>
        <v>160600</v>
      </c>
      <c r="O143" s="16">
        <v>160600</v>
      </c>
      <c r="P143" s="10">
        <f t="shared" si="48"/>
        <v>0</v>
      </c>
    </row>
    <row r="144" spans="1:16" s="14" customFormat="1" ht="15.75" customHeight="1" x14ac:dyDescent="0.25">
      <c r="A144" s="17">
        <v>46108</v>
      </c>
      <c r="B144" s="17" t="s">
        <v>5</v>
      </c>
      <c r="C144" s="18">
        <v>635</v>
      </c>
      <c r="D144" s="12">
        <v>311700</v>
      </c>
      <c r="E144" s="12">
        <v>147800</v>
      </c>
      <c r="F144" s="12"/>
      <c r="G144" s="12">
        <v>0</v>
      </c>
      <c r="H144" s="19">
        <f t="shared" si="45"/>
        <v>147800</v>
      </c>
      <c r="I144" s="9">
        <f t="shared" si="46"/>
        <v>459500</v>
      </c>
      <c r="J144" s="12">
        <v>0</v>
      </c>
      <c r="K144" s="12">
        <v>0</v>
      </c>
      <c r="L144" s="12">
        <v>118500</v>
      </c>
      <c r="M144" s="20">
        <f t="shared" si="49"/>
        <v>147800</v>
      </c>
      <c r="N144" s="13">
        <f t="shared" si="47"/>
        <v>311700</v>
      </c>
      <c r="O144" s="16">
        <v>311700</v>
      </c>
      <c r="P144" s="10">
        <f t="shared" si="48"/>
        <v>0</v>
      </c>
    </row>
    <row r="145" spans="1:16" s="14" customFormat="1" ht="15.75" customHeight="1" x14ac:dyDescent="0.25">
      <c r="A145" s="17">
        <v>46108</v>
      </c>
      <c r="B145" s="17" t="s">
        <v>4</v>
      </c>
      <c r="C145" s="18">
        <v>636</v>
      </c>
      <c r="D145" s="12">
        <v>189400</v>
      </c>
      <c r="E145" s="12">
        <v>166000</v>
      </c>
      <c r="F145" s="12">
        <v>30000</v>
      </c>
      <c r="G145" s="12">
        <v>81500</v>
      </c>
      <c r="H145" s="19">
        <f t="shared" si="45"/>
        <v>277500</v>
      </c>
      <c r="I145" s="9">
        <f t="shared" si="46"/>
        <v>466900</v>
      </c>
      <c r="J145" s="12">
        <v>0</v>
      </c>
      <c r="K145" s="12">
        <v>0</v>
      </c>
      <c r="L145" s="12">
        <v>0</v>
      </c>
      <c r="M145" s="20">
        <f t="shared" si="49"/>
        <v>277500</v>
      </c>
      <c r="N145" s="13">
        <f t="shared" si="47"/>
        <v>189400</v>
      </c>
      <c r="O145" s="16">
        <v>189400</v>
      </c>
      <c r="P145" s="10">
        <f t="shared" si="48"/>
        <v>0</v>
      </c>
    </row>
    <row r="146" spans="1:16" s="14" customFormat="1" ht="15.75" customHeight="1" x14ac:dyDescent="0.25">
      <c r="A146" s="17">
        <v>46109</v>
      </c>
      <c r="B146" s="17" t="s">
        <v>4</v>
      </c>
      <c r="C146" s="18">
        <v>637</v>
      </c>
      <c r="D146" s="12">
        <v>413800</v>
      </c>
      <c r="E146" s="12">
        <v>444500</v>
      </c>
      <c r="F146" s="12">
        <v>23000</v>
      </c>
      <c r="G146" s="12">
        <v>160500</v>
      </c>
      <c r="H146" s="19">
        <f t="shared" si="45"/>
        <v>628000</v>
      </c>
      <c r="I146" s="9">
        <f t="shared" si="46"/>
        <v>1041800</v>
      </c>
      <c r="J146" s="12">
        <v>403520</v>
      </c>
      <c r="K146" s="12">
        <v>0</v>
      </c>
      <c r="L146" s="12">
        <v>62800</v>
      </c>
      <c r="M146" s="20">
        <f t="shared" si="49"/>
        <v>224480</v>
      </c>
      <c r="N146" s="13">
        <f t="shared" si="47"/>
        <v>413800</v>
      </c>
      <c r="O146" s="16">
        <v>413800</v>
      </c>
      <c r="P146" s="10">
        <f t="shared" si="48"/>
        <v>0</v>
      </c>
    </row>
    <row r="147" spans="1:16" s="14" customFormat="1" ht="15.75" customHeight="1" x14ac:dyDescent="0.25">
      <c r="A147" s="17">
        <v>46110</v>
      </c>
      <c r="B147" s="17" t="s">
        <v>5</v>
      </c>
      <c r="C147" s="18">
        <v>638</v>
      </c>
      <c r="D147" s="12">
        <v>503700</v>
      </c>
      <c r="E147" s="12">
        <v>104100</v>
      </c>
      <c r="F147" s="12">
        <v>258600</v>
      </c>
      <c r="G147" s="12">
        <v>113000</v>
      </c>
      <c r="H147" s="19">
        <f t="shared" si="45"/>
        <v>475700</v>
      </c>
      <c r="I147" s="9">
        <f t="shared" si="46"/>
        <v>979400</v>
      </c>
      <c r="J147" s="12">
        <v>0</v>
      </c>
      <c r="K147" s="12">
        <v>0</v>
      </c>
      <c r="L147" s="12">
        <v>0</v>
      </c>
      <c r="M147" s="20">
        <f t="shared" si="49"/>
        <v>475700</v>
      </c>
      <c r="N147" s="13">
        <f t="shared" si="47"/>
        <v>503700</v>
      </c>
      <c r="O147" s="16">
        <v>503700</v>
      </c>
      <c r="P147" s="10">
        <f t="shared" si="48"/>
        <v>0</v>
      </c>
    </row>
    <row r="148" spans="1:16" s="14" customFormat="1" ht="15.75" customHeight="1" x14ac:dyDescent="0.25">
      <c r="A148" s="17">
        <v>46111</v>
      </c>
      <c r="B148" s="17" t="s">
        <v>4</v>
      </c>
      <c r="C148" s="18">
        <v>639</v>
      </c>
      <c r="D148" s="12">
        <v>318700</v>
      </c>
      <c r="E148" s="12">
        <v>69400</v>
      </c>
      <c r="F148" s="12">
        <v>64000</v>
      </c>
      <c r="G148" s="12">
        <v>62000</v>
      </c>
      <c r="H148" s="19">
        <f t="shared" si="45"/>
        <v>195400</v>
      </c>
      <c r="I148" s="9">
        <f t="shared" si="46"/>
        <v>514100</v>
      </c>
      <c r="J148" s="12">
        <v>0</v>
      </c>
      <c r="K148" s="12">
        <v>65000</v>
      </c>
      <c r="L148" s="12">
        <v>0</v>
      </c>
      <c r="M148" s="20">
        <f t="shared" si="49"/>
        <v>195400</v>
      </c>
      <c r="N148" s="13">
        <f t="shared" si="47"/>
        <v>253700</v>
      </c>
      <c r="O148" s="16">
        <v>253700</v>
      </c>
      <c r="P148" s="10">
        <f t="shared" si="48"/>
        <v>0</v>
      </c>
    </row>
    <row r="149" spans="1:16" s="14" customFormat="1" ht="15.75" customHeight="1" x14ac:dyDescent="0.25">
      <c r="A149" s="17" t="s">
        <v>182</v>
      </c>
      <c r="B149" s="21" t="s">
        <v>5</v>
      </c>
      <c r="C149" s="18">
        <v>640</v>
      </c>
      <c r="D149" s="12">
        <f>393600-18900</f>
        <v>374700</v>
      </c>
      <c r="E149" s="12">
        <v>265900</v>
      </c>
      <c r="F149" s="12">
        <f>36000</f>
        <v>36000</v>
      </c>
      <c r="G149" s="12">
        <v>44900</v>
      </c>
      <c r="H149" s="19">
        <f t="shared" si="45"/>
        <v>346800</v>
      </c>
      <c r="I149" s="9">
        <f t="shared" si="46"/>
        <v>721500</v>
      </c>
      <c r="J149" s="12">
        <v>0</v>
      </c>
      <c r="K149" s="12">
        <v>0</v>
      </c>
      <c r="L149" s="12">
        <v>0</v>
      </c>
      <c r="M149" s="20">
        <f t="shared" si="49"/>
        <v>346800</v>
      </c>
      <c r="N149" s="13">
        <f t="shared" si="47"/>
        <v>374700</v>
      </c>
      <c r="O149" s="16">
        <v>374700</v>
      </c>
      <c r="P149" s="10">
        <f t="shared" si="48"/>
        <v>0</v>
      </c>
    </row>
    <row r="150" spans="1:16" s="14" customFormat="1" ht="15.75" customHeight="1" x14ac:dyDescent="0.25">
      <c r="A150" s="17">
        <v>46112</v>
      </c>
      <c r="B150" s="17" t="s">
        <v>4</v>
      </c>
      <c r="C150" s="18">
        <v>641</v>
      </c>
      <c r="D150" s="12">
        <v>255600</v>
      </c>
      <c r="E150" s="12">
        <v>171900</v>
      </c>
      <c r="F150" s="12">
        <v>0</v>
      </c>
      <c r="G150" s="12">
        <v>396000</v>
      </c>
      <c r="H150" s="19">
        <f t="shared" si="45"/>
        <v>567900</v>
      </c>
      <c r="I150" s="9">
        <f t="shared" ref="I150:I303" si="50">D150+H150</f>
        <v>823500</v>
      </c>
      <c r="J150" s="12">
        <v>0</v>
      </c>
      <c r="K150" s="12">
        <v>78178</v>
      </c>
      <c r="L150" s="12">
        <v>57500</v>
      </c>
      <c r="M150" s="20">
        <f t="shared" si="49"/>
        <v>567900</v>
      </c>
      <c r="N150" s="13">
        <f t="shared" ref="N150:N325" si="51">D150-K150</f>
        <v>177422</v>
      </c>
      <c r="O150" s="16">
        <v>177600</v>
      </c>
      <c r="P150" s="10">
        <f t="shared" si="48"/>
        <v>178</v>
      </c>
    </row>
    <row r="151" spans="1:16" s="14" customFormat="1" ht="11.25" customHeight="1" x14ac:dyDescent="0.25">
      <c r="A151" s="17" t="s">
        <v>183</v>
      </c>
      <c r="B151" s="17" t="s">
        <v>5</v>
      </c>
      <c r="C151" s="18">
        <v>642</v>
      </c>
      <c r="D151" s="12">
        <v>138400</v>
      </c>
      <c r="E151" s="12">
        <v>205000</v>
      </c>
      <c r="F151" s="12">
        <v>54600</v>
      </c>
      <c r="G151" s="12">
        <v>89000</v>
      </c>
      <c r="H151" s="19">
        <f t="shared" si="45"/>
        <v>348600</v>
      </c>
      <c r="I151" s="9">
        <f t="shared" si="50"/>
        <v>487000</v>
      </c>
      <c r="J151" s="12">
        <v>0</v>
      </c>
      <c r="K151" s="12">
        <v>10000</v>
      </c>
      <c r="L151" s="12">
        <v>0</v>
      </c>
      <c r="M151" s="20">
        <f t="shared" si="49"/>
        <v>348600</v>
      </c>
      <c r="N151" s="13">
        <f t="shared" si="51"/>
        <v>128400</v>
      </c>
      <c r="O151" s="16">
        <v>128400</v>
      </c>
      <c r="P151" s="10">
        <f t="shared" si="48"/>
        <v>0</v>
      </c>
    </row>
    <row r="152" spans="1:16" s="14" customFormat="1" ht="15.75" customHeight="1" x14ac:dyDescent="0.25">
      <c r="A152" s="17">
        <v>46113</v>
      </c>
      <c r="B152" s="17" t="s">
        <v>4</v>
      </c>
      <c r="C152" s="18">
        <v>643</v>
      </c>
      <c r="D152" s="12">
        <v>190900</v>
      </c>
      <c r="E152" s="12">
        <v>71100</v>
      </c>
      <c r="F152" s="12">
        <v>0</v>
      </c>
      <c r="G152" s="12">
        <v>167000</v>
      </c>
      <c r="H152" s="19">
        <f t="shared" si="45"/>
        <v>238100</v>
      </c>
      <c r="I152" s="9">
        <f t="shared" si="50"/>
        <v>429000</v>
      </c>
      <c r="J152" s="12">
        <f>278961+3536430</f>
        <v>3815391</v>
      </c>
      <c r="K152" s="12">
        <v>0</v>
      </c>
      <c r="L152" s="12">
        <f>1500000+1500000+106000+50000+50000+150000+150000</f>
        <v>3506000</v>
      </c>
      <c r="M152" s="20">
        <f t="shared" ref="M152:M303" si="52">H152-J152</f>
        <v>-3577291</v>
      </c>
      <c r="N152" s="13">
        <f t="shared" si="51"/>
        <v>190900</v>
      </c>
      <c r="O152" s="16">
        <v>190900</v>
      </c>
      <c r="P152" s="10">
        <f t="shared" si="48"/>
        <v>0</v>
      </c>
    </row>
    <row r="153" spans="1:16" s="14" customFormat="1" ht="15.75" customHeight="1" x14ac:dyDescent="0.25">
      <c r="A153" s="17">
        <v>46113</v>
      </c>
      <c r="B153" s="17" t="s">
        <v>5</v>
      </c>
      <c r="C153" s="18">
        <v>644</v>
      </c>
      <c r="D153" s="12">
        <v>420400</v>
      </c>
      <c r="E153" s="12">
        <v>53200</v>
      </c>
      <c r="F153" s="12">
        <v>112500</v>
      </c>
      <c r="G153" s="12">
        <v>8500</v>
      </c>
      <c r="H153" s="19">
        <f t="shared" si="45"/>
        <v>174200</v>
      </c>
      <c r="I153" s="9">
        <f t="shared" si="50"/>
        <v>594600</v>
      </c>
      <c r="J153" s="12">
        <v>0</v>
      </c>
      <c r="K153" s="12">
        <v>0</v>
      </c>
      <c r="L153" s="12">
        <v>0</v>
      </c>
      <c r="M153" s="20">
        <f t="shared" si="52"/>
        <v>174200</v>
      </c>
      <c r="N153" s="13">
        <f t="shared" si="51"/>
        <v>420400</v>
      </c>
      <c r="O153" s="16">
        <v>425400</v>
      </c>
      <c r="P153" s="10">
        <f t="shared" si="48"/>
        <v>5000</v>
      </c>
    </row>
    <row r="154" spans="1:16" s="14" customFormat="1" ht="15.75" customHeight="1" x14ac:dyDescent="0.25">
      <c r="A154" s="17">
        <v>46114</v>
      </c>
      <c r="B154" s="17" t="s">
        <v>5</v>
      </c>
      <c r="C154" s="18">
        <v>645</v>
      </c>
      <c r="D154" s="12">
        <v>564900</v>
      </c>
      <c r="E154" s="12">
        <v>68000</v>
      </c>
      <c r="F154" s="12">
        <v>0</v>
      </c>
      <c r="G154" s="12">
        <v>69000</v>
      </c>
      <c r="H154" s="19">
        <f t="shared" si="45"/>
        <v>137000</v>
      </c>
      <c r="I154" s="9">
        <f t="shared" si="50"/>
        <v>701900</v>
      </c>
      <c r="J154" s="12">
        <v>0</v>
      </c>
      <c r="K154" s="12">
        <v>0</v>
      </c>
      <c r="L154" s="12">
        <v>0</v>
      </c>
      <c r="M154" s="20">
        <f t="shared" si="52"/>
        <v>137000</v>
      </c>
      <c r="N154" s="13">
        <f t="shared" si="51"/>
        <v>564900</v>
      </c>
      <c r="O154" s="16">
        <v>564900</v>
      </c>
      <c r="P154" s="10">
        <f t="shared" si="48"/>
        <v>0</v>
      </c>
    </row>
    <row r="155" spans="1:16" s="14" customFormat="1" ht="15.75" customHeight="1" x14ac:dyDescent="0.25">
      <c r="A155" s="17">
        <v>46115</v>
      </c>
      <c r="B155" s="17" t="s">
        <v>4</v>
      </c>
      <c r="C155" s="18">
        <v>646</v>
      </c>
      <c r="D155" s="12">
        <v>332800</v>
      </c>
      <c r="E155" s="12">
        <v>61000</v>
      </c>
      <c r="F155" s="12">
        <v>133500</v>
      </c>
      <c r="G155" s="12">
        <v>38000</v>
      </c>
      <c r="H155" s="19">
        <f t="shared" si="45"/>
        <v>232500</v>
      </c>
      <c r="I155" s="9">
        <f t="shared" si="50"/>
        <v>565300</v>
      </c>
      <c r="J155" s="12">
        <v>0</v>
      </c>
      <c r="K155" s="12">
        <v>0</v>
      </c>
      <c r="L155" s="12">
        <v>0</v>
      </c>
      <c r="M155" s="20">
        <f t="shared" si="52"/>
        <v>232500</v>
      </c>
      <c r="N155" s="13">
        <f t="shared" si="51"/>
        <v>332800</v>
      </c>
      <c r="O155" s="16">
        <v>332800</v>
      </c>
      <c r="P155" s="10">
        <f t="shared" si="48"/>
        <v>0</v>
      </c>
    </row>
    <row r="156" spans="1:16" s="14" customFormat="1" ht="15.75" customHeight="1" x14ac:dyDescent="0.25">
      <c r="A156" s="17">
        <v>46116</v>
      </c>
      <c r="B156" s="17" t="s">
        <v>5</v>
      </c>
      <c r="C156" s="18">
        <v>647</v>
      </c>
      <c r="D156" s="12">
        <v>426400</v>
      </c>
      <c r="E156" s="12">
        <v>240800</v>
      </c>
      <c r="F156" s="12">
        <v>49000</v>
      </c>
      <c r="G156" s="12">
        <v>63800</v>
      </c>
      <c r="H156" s="19">
        <f t="shared" si="45"/>
        <v>353600</v>
      </c>
      <c r="I156" s="9">
        <f t="shared" si="50"/>
        <v>780000</v>
      </c>
      <c r="J156" s="12">
        <v>0</v>
      </c>
      <c r="K156" s="12">
        <v>0</v>
      </c>
      <c r="L156" s="12">
        <v>0</v>
      </c>
      <c r="M156" s="20">
        <f t="shared" si="52"/>
        <v>353600</v>
      </c>
      <c r="N156" s="13">
        <f t="shared" si="51"/>
        <v>426400</v>
      </c>
      <c r="O156" s="16">
        <v>426400</v>
      </c>
      <c r="P156" s="10">
        <f t="shared" si="48"/>
        <v>0</v>
      </c>
    </row>
    <row r="157" spans="1:16" s="14" customFormat="1" ht="15.75" customHeight="1" x14ac:dyDescent="0.25">
      <c r="A157" s="17">
        <v>46117</v>
      </c>
      <c r="B157" s="17" t="s">
        <v>4</v>
      </c>
      <c r="C157" s="18">
        <v>648</v>
      </c>
      <c r="D157" s="12">
        <v>346800</v>
      </c>
      <c r="E157" s="12">
        <v>238300</v>
      </c>
      <c r="F157" s="12">
        <v>226000</v>
      </c>
      <c r="G157" s="12">
        <v>50000</v>
      </c>
      <c r="H157" s="19">
        <f t="shared" si="45"/>
        <v>514300</v>
      </c>
      <c r="I157" s="9">
        <f t="shared" si="50"/>
        <v>861100</v>
      </c>
      <c r="J157" s="12">
        <v>0</v>
      </c>
      <c r="K157" s="12">
        <v>0</v>
      </c>
      <c r="L157" s="12">
        <v>0</v>
      </c>
      <c r="M157" s="20">
        <f t="shared" si="52"/>
        <v>514300</v>
      </c>
      <c r="N157" s="13">
        <f t="shared" si="51"/>
        <v>346800</v>
      </c>
      <c r="O157" s="16">
        <v>346800</v>
      </c>
      <c r="P157" s="10">
        <f t="shared" si="48"/>
        <v>0</v>
      </c>
    </row>
    <row r="158" spans="1:16" s="14" customFormat="1" ht="15.75" customHeight="1" x14ac:dyDescent="0.25">
      <c r="A158" s="17">
        <v>46118</v>
      </c>
      <c r="B158" s="21" t="s">
        <v>5</v>
      </c>
      <c r="C158" s="18">
        <v>649</v>
      </c>
      <c r="D158" s="12">
        <f>264500-F158</f>
        <v>259500</v>
      </c>
      <c r="E158" s="12">
        <v>154100</v>
      </c>
      <c r="F158" s="12">
        <v>5000</v>
      </c>
      <c r="G158" s="12">
        <v>127800</v>
      </c>
      <c r="H158" s="19">
        <f t="shared" si="45"/>
        <v>286900</v>
      </c>
      <c r="I158" s="9">
        <f t="shared" si="50"/>
        <v>546400</v>
      </c>
      <c r="J158" s="12">
        <v>0</v>
      </c>
      <c r="K158" s="12">
        <v>0</v>
      </c>
      <c r="L158" s="12">
        <v>0</v>
      </c>
      <c r="M158" s="20">
        <f t="shared" si="52"/>
        <v>286900</v>
      </c>
      <c r="N158" s="13">
        <f t="shared" si="51"/>
        <v>259500</v>
      </c>
      <c r="O158" s="12">
        <v>259500</v>
      </c>
      <c r="P158" s="10">
        <f t="shared" si="48"/>
        <v>0</v>
      </c>
    </row>
    <row r="159" spans="1:16" s="14" customFormat="1" ht="15.75" customHeight="1" x14ac:dyDescent="0.25">
      <c r="A159" s="17">
        <v>46118</v>
      </c>
      <c r="B159" s="17" t="s">
        <v>4</v>
      </c>
      <c r="C159" s="18">
        <v>650</v>
      </c>
      <c r="D159" s="12">
        <v>346500</v>
      </c>
      <c r="E159" s="12">
        <v>119500</v>
      </c>
      <c r="F159" s="12">
        <v>143000</v>
      </c>
      <c r="G159" s="12">
        <v>399000</v>
      </c>
      <c r="H159" s="19">
        <f t="shared" si="45"/>
        <v>661500</v>
      </c>
      <c r="I159" s="9">
        <f t="shared" si="50"/>
        <v>1008000</v>
      </c>
      <c r="J159" s="12">
        <v>19900</v>
      </c>
      <c r="K159" s="12">
        <v>8000</v>
      </c>
      <c r="L159" s="12">
        <v>500000</v>
      </c>
      <c r="M159" s="20">
        <f t="shared" si="52"/>
        <v>641600</v>
      </c>
      <c r="N159" s="13">
        <f t="shared" si="51"/>
        <v>338500</v>
      </c>
      <c r="O159" s="12">
        <v>338500</v>
      </c>
      <c r="P159" s="10">
        <f t="shared" si="48"/>
        <v>0</v>
      </c>
    </row>
    <row r="160" spans="1:16" s="14" customFormat="1" ht="15.75" customHeight="1" x14ac:dyDescent="0.25">
      <c r="A160" s="17">
        <v>46119</v>
      </c>
      <c r="B160" s="17" t="s">
        <v>5</v>
      </c>
      <c r="C160" s="18">
        <v>651</v>
      </c>
      <c r="D160" s="12">
        <v>260800</v>
      </c>
      <c r="E160" s="12">
        <v>21000</v>
      </c>
      <c r="F160" s="12">
        <v>0</v>
      </c>
      <c r="G160" s="12">
        <v>119000</v>
      </c>
      <c r="H160" s="19">
        <f t="shared" si="45"/>
        <v>140000</v>
      </c>
      <c r="I160" s="9">
        <f t="shared" si="50"/>
        <v>400800</v>
      </c>
      <c r="J160" s="12">
        <v>0</v>
      </c>
      <c r="K160" s="12">
        <v>0</v>
      </c>
      <c r="L160" s="12">
        <v>160000</v>
      </c>
      <c r="M160" s="20">
        <f t="shared" si="52"/>
        <v>140000</v>
      </c>
      <c r="N160" s="13">
        <f t="shared" si="51"/>
        <v>260800</v>
      </c>
      <c r="O160" s="12">
        <v>260800</v>
      </c>
      <c r="P160" s="10">
        <f t="shared" si="48"/>
        <v>0</v>
      </c>
    </row>
    <row r="161" spans="1:16" s="14" customFormat="1" ht="15.75" customHeight="1" x14ac:dyDescent="0.25">
      <c r="A161" s="17">
        <v>46119</v>
      </c>
      <c r="B161" s="17" t="s">
        <v>4</v>
      </c>
      <c r="C161" s="18">
        <v>652</v>
      </c>
      <c r="D161" s="12">
        <v>427600</v>
      </c>
      <c r="E161" s="12">
        <v>233000</v>
      </c>
      <c r="F161" s="12">
        <v>88000</v>
      </c>
      <c r="G161" s="12">
        <v>30000</v>
      </c>
      <c r="H161" s="19">
        <f t="shared" si="45"/>
        <v>351000</v>
      </c>
      <c r="I161" s="9">
        <f t="shared" si="50"/>
        <v>778600</v>
      </c>
      <c r="J161" s="12">
        <v>3000000</v>
      </c>
      <c r="K161" s="12">
        <v>0</v>
      </c>
      <c r="L161" s="12">
        <v>243400</v>
      </c>
      <c r="M161" s="20">
        <f t="shared" si="52"/>
        <v>-2649000</v>
      </c>
      <c r="N161" s="13">
        <f t="shared" si="51"/>
        <v>427600</v>
      </c>
      <c r="O161" s="12">
        <v>427600</v>
      </c>
      <c r="P161" s="10">
        <f t="shared" si="48"/>
        <v>0</v>
      </c>
    </row>
    <row r="162" spans="1:16" s="14" customFormat="1" ht="15.75" customHeight="1" x14ac:dyDescent="0.25">
      <c r="A162" s="17" t="s">
        <v>191</v>
      </c>
      <c r="B162" s="17" t="s">
        <v>173</v>
      </c>
      <c r="C162" s="18">
        <v>653</v>
      </c>
      <c r="D162" s="12">
        <v>206100</v>
      </c>
      <c r="E162" s="12">
        <v>62800</v>
      </c>
      <c r="F162" s="12">
        <v>0</v>
      </c>
      <c r="G162" s="12">
        <v>9500</v>
      </c>
      <c r="H162" s="19">
        <f t="shared" si="45"/>
        <v>72300</v>
      </c>
      <c r="I162" s="9">
        <f t="shared" si="50"/>
        <v>278400</v>
      </c>
      <c r="J162" s="12">
        <v>0</v>
      </c>
      <c r="K162" s="12">
        <v>0</v>
      </c>
      <c r="L162" s="12">
        <v>0</v>
      </c>
      <c r="M162" s="20">
        <f t="shared" si="52"/>
        <v>72300</v>
      </c>
      <c r="N162" s="13">
        <f t="shared" si="51"/>
        <v>206100</v>
      </c>
      <c r="O162" s="12">
        <v>206100</v>
      </c>
      <c r="P162" s="10">
        <f t="shared" si="48"/>
        <v>0</v>
      </c>
    </row>
    <row r="163" spans="1:16" s="14" customFormat="1" ht="15.75" customHeight="1" x14ac:dyDescent="0.25">
      <c r="A163" s="17">
        <v>46120</v>
      </c>
      <c r="B163" s="17" t="s">
        <v>4</v>
      </c>
      <c r="C163" s="18">
        <v>654</v>
      </c>
      <c r="D163" s="12">
        <v>268500</v>
      </c>
      <c r="E163" s="12">
        <v>186700</v>
      </c>
      <c r="F163" s="12">
        <v>237100</v>
      </c>
      <c r="G163" s="12">
        <v>41000</v>
      </c>
      <c r="H163" s="19">
        <f t="shared" si="45"/>
        <v>464800</v>
      </c>
      <c r="I163" s="9">
        <f t="shared" si="50"/>
        <v>733300</v>
      </c>
      <c r="J163" s="12">
        <v>0</v>
      </c>
      <c r="K163" s="12">
        <v>0</v>
      </c>
      <c r="L163" s="12">
        <v>0</v>
      </c>
      <c r="M163" s="20">
        <f t="shared" si="52"/>
        <v>464800</v>
      </c>
      <c r="N163" s="13">
        <f t="shared" si="51"/>
        <v>268500</v>
      </c>
      <c r="O163" s="12">
        <v>268500</v>
      </c>
      <c r="P163" s="10">
        <f t="shared" si="48"/>
        <v>0</v>
      </c>
    </row>
    <row r="164" spans="1:16" s="14" customFormat="1" ht="15.75" customHeight="1" x14ac:dyDescent="0.25">
      <c r="A164" s="17">
        <v>46121</v>
      </c>
      <c r="B164" s="21" t="s">
        <v>5</v>
      </c>
      <c r="C164" s="18">
        <v>655</v>
      </c>
      <c r="D164" s="12">
        <v>442000</v>
      </c>
      <c r="E164" s="12">
        <v>406200</v>
      </c>
      <c r="F164" s="12">
        <v>0</v>
      </c>
      <c r="G164" s="12">
        <v>478300</v>
      </c>
      <c r="H164" s="19">
        <f t="shared" si="45"/>
        <v>884500</v>
      </c>
      <c r="I164" s="9">
        <f t="shared" si="50"/>
        <v>1326500</v>
      </c>
      <c r="J164" s="12">
        <v>100000</v>
      </c>
      <c r="K164" s="12">
        <v>3000</v>
      </c>
      <c r="L164" s="12">
        <f>340000+83800+143000</f>
        <v>566800</v>
      </c>
      <c r="M164" s="20">
        <f t="shared" si="52"/>
        <v>784500</v>
      </c>
      <c r="N164" s="13">
        <f t="shared" si="51"/>
        <v>439000</v>
      </c>
      <c r="O164" s="12">
        <v>439000</v>
      </c>
      <c r="P164" s="10">
        <f t="shared" si="48"/>
        <v>0</v>
      </c>
    </row>
    <row r="165" spans="1:16" s="14" customFormat="1" ht="15.75" customHeight="1" x14ac:dyDescent="0.25">
      <c r="A165" s="17">
        <v>46122</v>
      </c>
      <c r="B165" s="17" t="s">
        <v>4</v>
      </c>
      <c r="C165" s="18">
        <v>656</v>
      </c>
      <c r="D165" s="12">
        <v>632300</v>
      </c>
      <c r="E165" s="12">
        <v>427500</v>
      </c>
      <c r="F165" s="12">
        <v>0</v>
      </c>
      <c r="G165" s="12">
        <v>258500</v>
      </c>
      <c r="H165" s="19">
        <f t="shared" si="45"/>
        <v>686000</v>
      </c>
      <c r="I165" s="9">
        <f t="shared" si="50"/>
        <v>1318300</v>
      </c>
      <c r="J165" s="12">
        <v>0</v>
      </c>
      <c r="K165" s="12">
        <v>0</v>
      </c>
      <c r="L165" s="12">
        <v>0</v>
      </c>
      <c r="M165" s="20">
        <f t="shared" si="52"/>
        <v>686000</v>
      </c>
      <c r="N165" s="13">
        <f t="shared" si="51"/>
        <v>632300</v>
      </c>
      <c r="O165" s="12">
        <v>632300</v>
      </c>
      <c r="P165" s="10">
        <f t="shared" si="48"/>
        <v>0</v>
      </c>
    </row>
    <row r="166" spans="1:16" s="14" customFormat="1" ht="15.75" customHeight="1" x14ac:dyDescent="0.25">
      <c r="A166" s="17">
        <v>46123</v>
      </c>
      <c r="B166" s="21" t="s">
        <v>5</v>
      </c>
      <c r="C166" s="18">
        <v>657</v>
      </c>
      <c r="D166" s="12">
        <v>329900</v>
      </c>
      <c r="E166" s="12">
        <v>27500</v>
      </c>
      <c r="F166" s="12">
        <v>130500</v>
      </c>
      <c r="G166" s="12">
        <v>11000</v>
      </c>
      <c r="H166" s="19">
        <f t="shared" si="45"/>
        <v>169000</v>
      </c>
      <c r="I166" s="9">
        <f t="shared" si="50"/>
        <v>498900</v>
      </c>
      <c r="J166" s="12">
        <v>313016</v>
      </c>
      <c r="K166" s="12">
        <v>0</v>
      </c>
      <c r="L166" s="12">
        <v>0</v>
      </c>
      <c r="M166" s="20">
        <f t="shared" si="52"/>
        <v>-144016</v>
      </c>
      <c r="N166" s="13">
        <f t="shared" si="51"/>
        <v>329900</v>
      </c>
      <c r="O166" s="12">
        <v>329900</v>
      </c>
      <c r="P166" s="10">
        <f t="shared" si="48"/>
        <v>0</v>
      </c>
    </row>
    <row r="167" spans="1:16" s="14" customFormat="1" ht="15.75" customHeight="1" x14ac:dyDescent="0.25">
      <c r="A167" s="17">
        <v>46124</v>
      </c>
      <c r="B167" s="32" t="s">
        <v>4</v>
      </c>
      <c r="C167" s="18">
        <v>658</v>
      </c>
      <c r="D167" s="12">
        <v>430400</v>
      </c>
      <c r="E167" s="12">
        <v>111600</v>
      </c>
      <c r="F167" s="12">
        <v>68500</v>
      </c>
      <c r="G167" s="12">
        <v>19500</v>
      </c>
      <c r="H167" s="19">
        <f t="shared" si="45"/>
        <v>199600</v>
      </c>
      <c r="I167" s="9">
        <f t="shared" si="50"/>
        <v>630000</v>
      </c>
      <c r="J167" s="12">
        <v>0</v>
      </c>
      <c r="K167" s="12">
        <v>0</v>
      </c>
      <c r="L167" s="12">
        <v>0</v>
      </c>
      <c r="M167" s="20">
        <f t="shared" si="52"/>
        <v>199600</v>
      </c>
      <c r="N167" s="13">
        <f t="shared" si="51"/>
        <v>430400</v>
      </c>
      <c r="O167" s="12">
        <v>430400</v>
      </c>
      <c r="P167" s="10">
        <f t="shared" si="48"/>
        <v>0</v>
      </c>
    </row>
    <row r="168" spans="1:16" s="14" customFormat="1" ht="15.75" customHeight="1" x14ac:dyDescent="0.25">
      <c r="A168" s="17">
        <v>46125</v>
      </c>
      <c r="B168" s="32" t="s">
        <v>4</v>
      </c>
      <c r="C168" s="18">
        <v>659</v>
      </c>
      <c r="D168" s="12">
        <v>305400</v>
      </c>
      <c r="E168" s="12">
        <v>21000</v>
      </c>
      <c r="F168" s="12">
        <v>0</v>
      </c>
      <c r="G168" s="12">
        <v>77000</v>
      </c>
      <c r="H168" s="19">
        <f t="shared" si="45"/>
        <v>98000</v>
      </c>
      <c r="I168" s="9">
        <f t="shared" si="50"/>
        <v>403400</v>
      </c>
      <c r="J168" s="12">
        <v>2409340</v>
      </c>
      <c r="K168" s="12">
        <v>0</v>
      </c>
      <c r="L168" s="12">
        <f>125000+2379400+248200+72700</f>
        <v>2825300</v>
      </c>
      <c r="M168" s="20">
        <f t="shared" si="52"/>
        <v>-2311340</v>
      </c>
      <c r="N168" s="13">
        <f t="shared" si="51"/>
        <v>305400</v>
      </c>
      <c r="O168" s="12">
        <v>305400</v>
      </c>
      <c r="P168" s="10">
        <f t="shared" si="48"/>
        <v>0</v>
      </c>
    </row>
    <row r="169" spans="1:16" s="14" customFormat="1" ht="15.75" customHeight="1" x14ac:dyDescent="0.25">
      <c r="A169" s="17">
        <v>46125</v>
      </c>
      <c r="B169" s="32" t="s">
        <v>5</v>
      </c>
      <c r="C169" s="18">
        <v>660</v>
      </c>
      <c r="D169" s="12">
        <v>316300</v>
      </c>
      <c r="E169" s="12">
        <v>62000</v>
      </c>
      <c r="F169" s="12">
        <v>66500</v>
      </c>
      <c r="G169" s="12">
        <v>174000</v>
      </c>
      <c r="H169" s="19">
        <f t="shared" si="45"/>
        <v>302500</v>
      </c>
      <c r="I169" s="9">
        <f t="shared" si="50"/>
        <v>618800</v>
      </c>
      <c r="J169" s="12">
        <v>0</v>
      </c>
      <c r="K169" s="12">
        <v>8000</v>
      </c>
      <c r="L169" s="12">
        <v>63000</v>
      </c>
      <c r="M169" s="20">
        <f t="shared" si="52"/>
        <v>302500</v>
      </c>
      <c r="N169" s="13">
        <f t="shared" si="51"/>
        <v>308300</v>
      </c>
      <c r="O169" s="12">
        <v>308300</v>
      </c>
      <c r="P169" s="10">
        <f t="shared" si="48"/>
        <v>0</v>
      </c>
    </row>
    <row r="170" spans="1:16" s="14" customFormat="1" ht="15.75" customHeight="1" x14ac:dyDescent="0.25">
      <c r="A170" s="17">
        <v>46126</v>
      </c>
      <c r="B170" s="32" t="s">
        <v>4</v>
      </c>
      <c r="C170" s="18">
        <v>661</v>
      </c>
      <c r="D170" s="12">
        <v>378800</v>
      </c>
      <c r="E170" s="12">
        <v>43900</v>
      </c>
      <c r="F170" s="12">
        <v>0</v>
      </c>
      <c r="G170" s="12">
        <v>41500</v>
      </c>
      <c r="H170" s="19">
        <f t="shared" si="45"/>
        <v>85400</v>
      </c>
      <c r="I170" s="9">
        <f t="shared" si="50"/>
        <v>464200</v>
      </c>
      <c r="J170" s="12">
        <v>0</v>
      </c>
      <c r="K170" s="12">
        <v>0</v>
      </c>
      <c r="L170" s="12">
        <f>166000+80650</f>
        <v>246650</v>
      </c>
      <c r="M170" s="20">
        <f t="shared" si="52"/>
        <v>85400</v>
      </c>
      <c r="N170" s="13">
        <f t="shared" si="51"/>
        <v>378800</v>
      </c>
      <c r="O170" s="12">
        <v>379000</v>
      </c>
      <c r="P170" s="10">
        <f t="shared" si="48"/>
        <v>200</v>
      </c>
    </row>
    <row r="171" spans="1:16" s="14" customFormat="1" ht="15.75" customHeight="1" x14ac:dyDescent="0.25">
      <c r="A171" s="17">
        <v>46126</v>
      </c>
      <c r="B171" s="17" t="s">
        <v>5</v>
      </c>
      <c r="C171" s="18">
        <v>662</v>
      </c>
      <c r="D171" s="12">
        <v>204600</v>
      </c>
      <c r="E171" s="12">
        <v>83500</v>
      </c>
      <c r="F171" s="12">
        <v>47800</v>
      </c>
      <c r="G171" s="12">
        <v>40000</v>
      </c>
      <c r="H171" s="19">
        <f t="shared" si="45"/>
        <v>171300</v>
      </c>
      <c r="I171" s="9">
        <f t="shared" si="50"/>
        <v>375900</v>
      </c>
      <c r="J171" s="12">
        <v>0</v>
      </c>
      <c r="K171" s="12">
        <v>5000</v>
      </c>
      <c r="L171" s="12">
        <v>145000</v>
      </c>
      <c r="M171" s="20">
        <f t="shared" si="52"/>
        <v>171300</v>
      </c>
      <c r="N171" s="13">
        <f t="shared" si="51"/>
        <v>199600</v>
      </c>
      <c r="O171" s="12">
        <v>199600</v>
      </c>
      <c r="P171" s="10">
        <f t="shared" si="48"/>
        <v>0</v>
      </c>
    </row>
    <row r="172" spans="1:16" s="14" customFormat="1" ht="15.75" customHeight="1" x14ac:dyDescent="0.25">
      <c r="A172" s="17">
        <v>46127</v>
      </c>
      <c r="B172" s="21" t="s">
        <v>4</v>
      </c>
      <c r="C172" s="18">
        <v>663</v>
      </c>
      <c r="D172" s="12">
        <v>434000</v>
      </c>
      <c r="E172" s="12">
        <v>41500</v>
      </c>
      <c r="F172" s="12">
        <v>0</v>
      </c>
      <c r="G172" s="12">
        <v>100000</v>
      </c>
      <c r="H172" s="19">
        <f t="shared" si="45"/>
        <v>141500</v>
      </c>
      <c r="I172" s="9">
        <f t="shared" si="50"/>
        <v>575500</v>
      </c>
      <c r="J172" s="12">
        <v>0</v>
      </c>
      <c r="K172" s="12">
        <v>0</v>
      </c>
      <c r="L172" s="12">
        <f>72000+200000+100000</f>
        <v>372000</v>
      </c>
      <c r="M172" s="20">
        <f t="shared" si="52"/>
        <v>141500</v>
      </c>
      <c r="N172" s="13">
        <f t="shared" si="51"/>
        <v>434000</v>
      </c>
      <c r="O172" s="12">
        <v>434000</v>
      </c>
      <c r="P172" s="10">
        <f t="shared" si="48"/>
        <v>0</v>
      </c>
    </row>
    <row r="173" spans="1:16" s="14" customFormat="1" ht="15.75" customHeight="1" x14ac:dyDescent="0.25">
      <c r="A173" s="17">
        <v>46127</v>
      </c>
      <c r="B173" s="17" t="s">
        <v>5</v>
      </c>
      <c r="C173" s="18">
        <v>664</v>
      </c>
      <c r="D173" s="12">
        <v>415770</v>
      </c>
      <c r="E173" s="12">
        <v>29000</v>
      </c>
      <c r="F173" s="12">
        <v>70200</v>
      </c>
      <c r="G173" s="12">
        <v>211900</v>
      </c>
      <c r="H173" s="19">
        <f t="shared" si="45"/>
        <v>311100</v>
      </c>
      <c r="I173" s="9">
        <f t="shared" si="50"/>
        <v>726870</v>
      </c>
      <c r="J173" s="12">
        <v>0</v>
      </c>
      <c r="K173" s="12">
        <v>0</v>
      </c>
      <c r="L173" s="12">
        <v>11400</v>
      </c>
      <c r="M173" s="20">
        <f t="shared" si="52"/>
        <v>311100</v>
      </c>
      <c r="N173" s="13">
        <f t="shared" si="51"/>
        <v>415770</v>
      </c>
      <c r="O173" s="12">
        <v>415800</v>
      </c>
      <c r="P173" s="10">
        <f t="shared" si="48"/>
        <v>30</v>
      </c>
    </row>
    <row r="174" spans="1:16" s="14" customFormat="1" ht="15.75" customHeight="1" x14ac:dyDescent="0.25">
      <c r="A174" s="17">
        <v>46128</v>
      </c>
      <c r="B174" s="17" t="s">
        <v>4</v>
      </c>
      <c r="C174" s="18">
        <v>665</v>
      </c>
      <c r="D174" s="12">
        <v>222900</v>
      </c>
      <c r="E174" s="12">
        <v>137000</v>
      </c>
      <c r="F174" s="12">
        <v>110000</v>
      </c>
      <c r="G174" s="12">
        <v>94500</v>
      </c>
      <c r="H174" s="19">
        <f t="shared" si="45"/>
        <v>341500</v>
      </c>
      <c r="I174" s="9">
        <f t="shared" si="50"/>
        <v>564400</v>
      </c>
      <c r="J174" s="12">
        <v>0</v>
      </c>
      <c r="K174" s="12">
        <v>0</v>
      </c>
      <c r="L174" s="12">
        <f>100000+100000</f>
        <v>200000</v>
      </c>
      <c r="M174" s="20">
        <f t="shared" si="52"/>
        <v>341500</v>
      </c>
      <c r="N174" s="13">
        <f t="shared" si="51"/>
        <v>222900</v>
      </c>
      <c r="O174" s="12">
        <v>222900</v>
      </c>
      <c r="P174" s="10">
        <f t="shared" si="48"/>
        <v>0</v>
      </c>
    </row>
    <row r="175" spans="1:16" s="14" customFormat="1" ht="15.75" customHeight="1" x14ac:dyDescent="0.25">
      <c r="A175" s="17">
        <v>46128</v>
      </c>
      <c r="B175" s="17" t="s">
        <v>5</v>
      </c>
      <c r="C175" s="18">
        <v>666</v>
      </c>
      <c r="D175" s="12">
        <v>212400</v>
      </c>
      <c r="E175" s="12">
        <v>55800</v>
      </c>
      <c r="F175" s="12">
        <v>0</v>
      </c>
      <c r="G175" s="12">
        <v>75000</v>
      </c>
      <c r="H175" s="19">
        <f t="shared" si="45"/>
        <v>130800</v>
      </c>
      <c r="I175" s="9">
        <f t="shared" si="50"/>
        <v>343200</v>
      </c>
      <c r="J175" s="12">
        <v>107500</v>
      </c>
      <c r="K175" s="12">
        <v>0</v>
      </c>
      <c r="L175" s="12">
        <v>63000</v>
      </c>
      <c r="M175" s="20">
        <f t="shared" si="52"/>
        <v>23300</v>
      </c>
      <c r="N175" s="13">
        <f t="shared" si="51"/>
        <v>212400</v>
      </c>
      <c r="O175" s="12">
        <v>212400</v>
      </c>
      <c r="P175" s="10">
        <f t="shared" si="48"/>
        <v>0</v>
      </c>
    </row>
    <row r="176" spans="1:16" s="14" customFormat="1" ht="15.75" customHeight="1" x14ac:dyDescent="0.25">
      <c r="A176" s="17">
        <v>46129</v>
      </c>
      <c r="B176" s="21" t="s">
        <v>4</v>
      </c>
      <c r="C176" s="18">
        <v>667</v>
      </c>
      <c r="D176" s="12">
        <v>174100</v>
      </c>
      <c r="E176" s="12">
        <v>46200</v>
      </c>
      <c r="F176" s="12">
        <v>0</v>
      </c>
      <c r="G176" s="12">
        <v>394000</v>
      </c>
      <c r="H176" s="19">
        <f t="shared" si="45"/>
        <v>440200</v>
      </c>
      <c r="I176" s="9">
        <f t="shared" si="50"/>
        <v>614300</v>
      </c>
      <c r="J176" s="71">
        <v>0</v>
      </c>
      <c r="K176" s="66">
        <v>0</v>
      </c>
      <c r="L176" s="66">
        <v>0</v>
      </c>
      <c r="M176" s="20">
        <f t="shared" si="52"/>
        <v>440200</v>
      </c>
      <c r="N176" s="13">
        <f t="shared" si="51"/>
        <v>174100</v>
      </c>
      <c r="O176" s="66">
        <v>174100</v>
      </c>
      <c r="P176" s="10">
        <f t="shared" si="48"/>
        <v>0</v>
      </c>
    </row>
    <row r="177" spans="1:16" s="14" customFormat="1" ht="15.75" customHeight="1" x14ac:dyDescent="0.25">
      <c r="A177" s="17">
        <v>46129</v>
      </c>
      <c r="B177" s="17" t="s">
        <v>5</v>
      </c>
      <c r="C177" s="18">
        <v>668</v>
      </c>
      <c r="D177" s="12">
        <v>297000</v>
      </c>
      <c r="E177" s="12">
        <v>211500</v>
      </c>
      <c r="F177" s="12">
        <v>26000</v>
      </c>
      <c r="G177" s="12">
        <v>20000</v>
      </c>
      <c r="H177" s="19">
        <f t="shared" si="45"/>
        <v>257500</v>
      </c>
      <c r="I177" s="9">
        <f t="shared" si="50"/>
        <v>554500</v>
      </c>
      <c r="J177" s="71">
        <f>575084+500000+857850</f>
        <v>1932934</v>
      </c>
      <c r="K177" s="66">
        <v>0</v>
      </c>
      <c r="L177" s="66">
        <f>180000+3000000</f>
        <v>3180000</v>
      </c>
      <c r="M177" s="20">
        <f t="shared" si="52"/>
        <v>-1675434</v>
      </c>
      <c r="N177" s="13">
        <f t="shared" si="51"/>
        <v>297000</v>
      </c>
      <c r="O177" s="66">
        <v>297000</v>
      </c>
      <c r="P177" s="10">
        <f t="shared" si="48"/>
        <v>0</v>
      </c>
    </row>
    <row r="178" spans="1:16" s="14" customFormat="1" ht="15.75" customHeight="1" x14ac:dyDescent="0.25">
      <c r="A178" s="17">
        <v>46130</v>
      </c>
      <c r="B178" s="17" t="s">
        <v>4</v>
      </c>
      <c r="C178" s="18">
        <v>669</v>
      </c>
      <c r="D178" s="12">
        <v>729800</v>
      </c>
      <c r="E178" s="12">
        <v>314500</v>
      </c>
      <c r="F178" s="12">
        <v>961792</v>
      </c>
      <c r="G178" s="12">
        <v>0</v>
      </c>
      <c r="H178" s="19">
        <f t="shared" si="45"/>
        <v>1276292</v>
      </c>
      <c r="I178" s="9">
        <f t="shared" si="50"/>
        <v>2006092</v>
      </c>
      <c r="J178" s="71">
        <v>0</v>
      </c>
      <c r="K178" s="66">
        <v>20000</v>
      </c>
      <c r="L178" s="66">
        <v>0</v>
      </c>
      <c r="M178" s="20">
        <f t="shared" si="52"/>
        <v>1276292</v>
      </c>
      <c r="N178" s="13">
        <f t="shared" si="51"/>
        <v>709800</v>
      </c>
      <c r="O178" s="66">
        <v>709800</v>
      </c>
      <c r="P178" s="10">
        <f t="shared" si="48"/>
        <v>0</v>
      </c>
    </row>
    <row r="179" spans="1:16" s="14" customFormat="1" ht="15.75" customHeight="1" x14ac:dyDescent="0.25">
      <c r="A179" s="17">
        <v>46131</v>
      </c>
      <c r="B179" s="17" t="s">
        <v>5</v>
      </c>
      <c r="C179" s="18">
        <v>670</v>
      </c>
      <c r="D179" s="12">
        <v>350700</v>
      </c>
      <c r="E179" s="12">
        <v>56500</v>
      </c>
      <c r="F179" s="12">
        <v>0</v>
      </c>
      <c r="G179" s="12">
        <v>124000</v>
      </c>
      <c r="H179" s="19">
        <f t="shared" si="45"/>
        <v>180500</v>
      </c>
      <c r="I179" s="9">
        <f t="shared" si="50"/>
        <v>531200</v>
      </c>
      <c r="J179" s="71">
        <v>0</v>
      </c>
      <c r="K179" s="66">
        <v>0</v>
      </c>
      <c r="L179" s="66">
        <v>0</v>
      </c>
      <c r="M179" s="20">
        <f t="shared" si="52"/>
        <v>180500</v>
      </c>
      <c r="N179" s="13">
        <f t="shared" si="51"/>
        <v>350700</v>
      </c>
      <c r="O179" s="66">
        <v>350700</v>
      </c>
      <c r="P179" s="10">
        <f t="shared" si="48"/>
        <v>0</v>
      </c>
    </row>
    <row r="180" spans="1:16" s="14" customFormat="1" ht="15.75" customHeight="1" x14ac:dyDescent="0.25">
      <c r="A180" s="17">
        <v>46132</v>
      </c>
      <c r="B180" s="17" t="s">
        <v>5</v>
      </c>
      <c r="C180" s="18">
        <v>671</v>
      </c>
      <c r="D180" s="12">
        <v>190000</v>
      </c>
      <c r="E180" s="12">
        <v>0</v>
      </c>
      <c r="F180" s="12">
        <v>109500</v>
      </c>
      <c r="G180" s="12">
        <v>93500</v>
      </c>
      <c r="H180" s="19">
        <f t="shared" si="45"/>
        <v>203000</v>
      </c>
      <c r="I180" s="9">
        <f t="shared" si="50"/>
        <v>393000</v>
      </c>
      <c r="J180" s="71">
        <v>0</v>
      </c>
      <c r="K180" s="66">
        <v>0</v>
      </c>
      <c r="L180" s="66">
        <v>10000</v>
      </c>
      <c r="M180" s="20">
        <f t="shared" si="52"/>
        <v>203000</v>
      </c>
      <c r="N180" s="13">
        <f t="shared" si="51"/>
        <v>190000</v>
      </c>
      <c r="O180" s="66">
        <v>190000</v>
      </c>
      <c r="P180" s="10">
        <f t="shared" si="48"/>
        <v>0</v>
      </c>
    </row>
    <row r="181" spans="1:16" s="14" customFormat="1" ht="15.75" customHeight="1" x14ac:dyDescent="0.25">
      <c r="A181" s="17">
        <v>46132</v>
      </c>
      <c r="B181" s="17" t="s">
        <v>4</v>
      </c>
      <c r="C181" s="18">
        <v>672</v>
      </c>
      <c r="D181" s="12">
        <v>209500</v>
      </c>
      <c r="E181" s="12">
        <v>126000</v>
      </c>
      <c r="F181" s="12">
        <v>0</v>
      </c>
      <c r="G181" s="12">
        <v>73000</v>
      </c>
      <c r="H181" s="19">
        <f t="shared" si="45"/>
        <v>199000</v>
      </c>
      <c r="I181" s="9">
        <f t="shared" si="50"/>
        <v>408500</v>
      </c>
      <c r="J181" s="71">
        <v>0</v>
      </c>
      <c r="K181" s="66">
        <v>0</v>
      </c>
      <c r="L181" s="66">
        <v>95000</v>
      </c>
      <c r="M181" s="20">
        <f t="shared" si="52"/>
        <v>199000</v>
      </c>
      <c r="N181" s="13">
        <f t="shared" si="51"/>
        <v>209500</v>
      </c>
      <c r="O181" s="66">
        <v>209500</v>
      </c>
      <c r="P181" s="10">
        <f t="shared" si="48"/>
        <v>0</v>
      </c>
    </row>
    <row r="182" spans="1:16" s="14" customFormat="1" ht="15.75" customHeight="1" x14ac:dyDescent="0.25">
      <c r="A182" s="17">
        <v>46133</v>
      </c>
      <c r="B182" s="17" t="s">
        <v>5</v>
      </c>
      <c r="C182" s="18">
        <v>673</v>
      </c>
      <c r="D182" s="12">
        <v>189800</v>
      </c>
      <c r="E182" s="12">
        <v>0</v>
      </c>
      <c r="F182" s="12">
        <v>36500</v>
      </c>
      <c r="G182" s="12">
        <v>101500</v>
      </c>
      <c r="H182" s="19">
        <f t="shared" si="45"/>
        <v>138000</v>
      </c>
      <c r="I182" s="9">
        <f t="shared" si="50"/>
        <v>327800</v>
      </c>
      <c r="J182" s="71">
        <v>0</v>
      </c>
      <c r="K182" s="66">
        <v>0</v>
      </c>
      <c r="L182" s="66">
        <v>63750</v>
      </c>
      <c r="M182" s="20">
        <f t="shared" si="52"/>
        <v>138000</v>
      </c>
      <c r="N182" s="13">
        <f t="shared" si="51"/>
        <v>189800</v>
      </c>
      <c r="O182" s="66">
        <v>189800</v>
      </c>
      <c r="P182" s="10">
        <f t="shared" si="48"/>
        <v>0</v>
      </c>
    </row>
    <row r="183" spans="1:16" s="14" customFormat="1" ht="15.75" customHeight="1" x14ac:dyDescent="0.25">
      <c r="A183" s="17">
        <v>46133</v>
      </c>
      <c r="B183" s="21" t="s">
        <v>4</v>
      </c>
      <c r="C183" s="18">
        <v>674</v>
      </c>
      <c r="D183" s="12">
        <v>425000</v>
      </c>
      <c r="E183" s="12">
        <v>167500</v>
      </c>
      <c r="F183" s="12">
        <v>10000</v>
      </c>
      <c r="G183" s="12">
        <v>78000</v>
      </c>
      <c r="H183" s="19">
        <f t="shared" si="45"/>
        <v>255500</v>
      </c>
      <c r="I183" s="9">
        <f t="shared" si="50"/>
        <v>680500</v>
      </c>
      <c r="J183" s="66">
        <v>0</v>
      </c>
      <c r="K183" s="66">
        <v>0</v>
      </c>
      <c r="L183" s="66">
        <v>0</v>
      </c>
      <c r="M183" s="20">
        <f t="shared" si="52"/>
        <v>255500</v>
      </c>
      <c r="N183" s="13">
        <f t="shared" si="51"/>
        <v>425000</v>
      </c>
      <c r="O183" s="66">
        <v>425000</v>
      </c>
      <c r="P183" s="10">
        <f t="shared" si="48"/>
        <v>0</v>
      </c>
    </row>
    <row r="184" spans="1:16" s="14" customFormat="1" ht="15.75" customHeight="1" x14ac:dyDescent="0.25">
      <c r="A184" s="17">
        <v>46134</v>
      </c>
      <c r="B184" s="21" t="s">
        <v>5</v>
      </c>
      <c r="C184" s="18">
        <v>675</v>
      </c>
      <c r="D184" s="12">
        <v>89700</v>
      </c>
      <c r="E184" s="12">
        <v>144100</v>
      </c>
      <c r="F184" s="12">
        <f>16000+3500</f>
        <v>19500</v>
      </c>
      <c r="G184" s="12">
        <v>10000</v>
      </c>
      <c r="H184" s="19">
        <f t="shared" si="45"/>
        <v>173600</v>
      </c>
      <c r="I184" s="76">
        <f t="shared" si="50"/>
        <v>263300</v>
      </c>
      <c r="J184" s="12">
        <f>1091000+143100+181200+25492+146000</f>
        <v>1586792</v>
      </c>
      <c r="K184" s="12">
        <v>0</v>
      </c>
      <c r="L184" s="12">
        <f>17000+17000</f>
        <v>34000</v>
      </c>
      <c r="M184" s="20">
        <f t="shared" si="52"/>
        <v>-1413192</v>
      </c>
      <c r="N184" s="13">
        <f t="shared" si="51"/>
        <v>89700</v>
      </c>
      <c r="O184" s="12">
        <v>89700</v>
      </c>
      <c r="P184" s="10">
        <f t="shared" si="48"/>
        <v>0</v>
      </c>
    </row>
    <row r="185" spans="1:16" s="14" customFormat="1" ht="15.75" customHeight="1" x14ac:dyDescent="0.25">
      <c r="A185" s="17">
        <v>46134</v>
      </c>
      <c r="B185" s="17" t="s">
        <v>4</v>
      </c>
      <c r="C185" s="18">
        <v>676</v>
      </c>
      <c r="D185" s="12">
        <v>330700</v>
      </c>
      <c r="E185" s="12">
        <v>196500</v>
      </c>
      <c r="F185" s="12">
        <v>7000</v>
      </c>
      <c r="G185" s="12">
        <v>133500</v>
      </c>
      <c r="H185" s="19">
        <f t="shared" si="45"/>
        <v>337000</v>
      </c>
      <c r="I185" s="9">
        <f t="shared" si="50"/>
        <v>667700</v>
      </c>
      <c r="J185" s="12">
        <v>0</v>
      </c>
      <c r="K185" s="12">
        <v>0</v>
      </c>
      <c r="L185" s="12">
        <v>911000</v>
      </c>
      <c r="M185" s="20">
        <f t="shared" si="52"/>
        <v>337000</v>
      </c>
      <c r="N185" s="13">
        <f t="shared" si="51"/>
        <v>330700</v>
      </c>
      <c r="O185" s="12">
        <v>330700</v>
      </c>
      <c r="P185" s="10">
        <f t="shared" si="48"/>
        <v>0</v>
      </c>
    </row>
    <row r="186" spans="1:16" s="14" customFormat="1" ht="15.75" customHeight="1" x14ac:dyDescent="0.25">
      <c r="A186" s="17">
        <v>46135</v>
      </c>
      <c r="B186" s="17" t="s">
        <v>5</v>
      </c>
      <c r="C186" s="18">
        <v>677</v>
      </c>
      <c r="D186" s="12">
        <v>143700</v>
      </c>
      <c r="E186" s="12">
        <v>36500</v>
      </c>
      <c r="F186" s="12">
        <v>0</v>
      </c>
      <c r="G186" s="12">
        <v>121500</v>
      </c>
      <c r="H186" s="19">
        <f t="shared" si="45"/>
        <v>158000</v>
      </c>
      <c r="I186" s="9">
        <f t="shared" si="50"/>
        <v>301700</v>
      </c>
      <c r="J186" s="12">
        <v>0</v>
      </c>
      <c r="K186" s="12">
        <v>0</v>
      </c>
      <c r="L186" s="12">
        <v>26000</v>
      </c>
      <c r="M186" s="20">
        <f t="shared" si="52"/>
        <v>158000</v>
      </c>
      <c r="N186" s="13">
        <f t="shared" si="51"/>
        <v>143700</v>
      </c>
      <c r="O186" s="12">
        <v>143700</v>
      </c>
      <c r="P186" s="10">
        <f t="shared" si="48"/>
        <v>0</v>
      </c>
    </row>
    <row r="187" spans="1:16" s="14" customFormat="1" ht="15.75" customHeight="1" x14ac:dyDescent="0.25">
      <c r="A187" s="17">
        <v>46135</v>
      </c>
      <c r="B187" s="17" t="s">
        <v>4</v>
      </c>
      <c r="C187" s="18">
        <v>678</v>
      </c>
      <c r="D187" s="12">
        <v>259000</v>
      </c>
      <c r="E187" s="12">
        <v>162500</v>
      </c>
      <c r="F187" s="12">
        <v>27000</v>
      </c>
      <c r="G187" s="12">
        <v>337600</v>
      </c>
      <c r="H187" s="19">
        <f t="shared" si="45"/>
        <v>527100</v>
      </c>
      <c r="I187" s="9">
        <f t="shared" si="50"/>
        <v>786100</v>
      </c>
      <c r="J187" s="12">
        <v>0</v>
      </c>
      <c r="K187" s="12">
        <v>0</v>
      </c>
      <c r="L187" s="12">
        <v>1198150</v>
      </c>
      <c r="M187" s="20">
        <f t="shared" si="52"/>
        <v>527100</v>
      </c>
      <c r="N187" s="13">
        <f t="shared" si="51"/>
        <v>259000</v>
      </c>
      <c r="O187" s="12">
        <v>259000</v>
      </c>
      <c r="P187" s="10">
        <f t="shared" si="48"/>
        <v>0</v>
      </c>
    </row>
    <row r="188" spans="1:16" s="14" customFormat="1" ht="15.75" customHeight="1" x14ac:dyDescent="0.25">
      <c r="A188" s="17">
        <v>46136</v>
      </c>
      <c r="B188" s="17" t="s">
        <v>5</v>
      </c>
      <c r="C188" s="18">
        <v>679</v>
      </c>
      <c r="D188" s="12">
        <v>189900</v>
      </c>
      <c r="E188" s="12">
        <v>36000</v>
      </c>
      <c r="F188" s="12">
        <v>0</v>
      </c>
      <c r="G188" s="12">
        <v>400500</v>
      </c>
      <c r="H188" s="19">
        <f t="shared" si="45"/>
        <v>436500</v>
      </c>
      <c r="I188" s="9">
        <f t="shared" si="50"/>
        <v>626400</v>
      </c>
      <c r="J188" s="12">
        <v>0</v>
      </c>
      <c r="K188" s="12">
        <v>10000</v>
      </c>
      <c r="L188" s="12">
        <v>242500</v>
      </c>
      <c r="M188" s="20">
        <f t="shared" si="52"/>
        <v>436500</v>
      </c>
      <c r="N188" s="13">
        <f t="shared" si="51"/>
        <v>179900</v>
      </c>
      <c r="O188" s="12">
        <v>179900</v>
      </c>
      <c r="P188" s="10">
        <f t="shared" si="48"/>
        <v>0</v>
      </c>
    </row>
    <row r="189" spans="1:16" s="14" customFormat="1" ht="15.75" customHeight="1" x14ac:dyDescent="0.25">
      <c r="A189" s="17">
        <v>46136</v>
      </c>
      <c r="B189" s="17" t="s">
        <v>4</v>
      </c>
      <c r="C189" s="18">
        <v>680</v>
      </c>
      <c r="D189" s="12">
        <v>601100</v>
      </c>
      <c r="E189" s="12">
        <v>110400</v>
      </c>
      <c r="F189" s="12">
        <v>18000</v>
      </c>
      <c r="G189" s="12">
        <v>57000</v>
      </c>
      <c r="H189" s="19">
        <f t="shared" si="45"/>
        <v>185400</v>
      </c>
      <c r="I189" s="9">
        <f t="shared" si="50"/>
        <v>786500</v>
      </c>
      <c r="J189" s="12">
        <f>1221750+100491</f>
        <v>1322241</v>
      </c>
      <c r="K189" s="12">
        <v>0</v>
      </c>
      <c r="L189" s="12">
        <v>0</v>
      </c>
      <c r="M189" s="20">
        <f t="shared" si="52"/>
        <v>-1136841</v>
      </c>
      <c r="N189" s="13">
        <f t="shared" si="51"/>
        <v>601100</v>
      </c>
      <c r="O189" s="12">
        <v>601100</v>
      </c>
      <c r="P189" s="10">
        <f t="shared" si="48"/>
        <v>0</v>
      </c>
    </row>
    <row r="190" spans="1:16" s="14" customFormat="1" ht="15.75" customHeight="1" x14ac:dyDescent="0.25">
      <c r="A190" s="17">
        <v>46137</v>
      </c>
      <c r="B190" s="17" t="s">
        <v>5</v>
      </c>
      <c r="C190" s="18">
        <v>681</v>
      </c>
      <c r="D190" s="12">
        <v>544900</v>
      </c>
      <c r="E190" s="12">
        <v>148100</v>
      </c>
      <c r="F190" s="12">
        <v>135600</v>
      </c>
      <c r="G190" s="12">
        <v>199200</v>
      </c>
      <c r="H190" s="19">
        <f t="shared" si="45"/>
        <v>482900</v>
      </c>
      <c r="I190" s="9">
        <f t="shared" si="50"/>
        <v>1027800</v>
      </c>
      <c r="J190" s="12">
        <v>0</v>
      </c>
      <c r="K190" s="12">
        <v>20100</v>
      </c>
      <c r="L190" s="12">
        <v>222100</v>
      </c>
      <c r="M190" s="20">
        <f t="shared" si="52"/>
        <v>482900</v>
      </c>
      <c r="N190" s="13">
        <f t="shared" si="51"/>
        <v>524800</v>
      </c>
      <c r="O190" s="12">
        <v>524800</v>
      </c>
      <c r="P190" s="10">
        <f t="shared" si="48"/>
        <v>0</v>
      </c>
    </row>
    <row r="191" spans="1:16" s="14" customFormat="1" ht="15.75" customHeight="1" x14ac:dyDescent="0.25">
      <c r="A191" s="17">
        <v>46138</v>
      </c>
      <c r="B191" s="17" t="s">
        <v>4</v>
      </c>
      <c r="C191" s="18">
        <v>682</v>
      </c>
      <c r="D191" s="12">
        <v>366200</v>
      </c>
      <c r="E191" s="12">
        <v>366500</v>
      </c>
      <c r="F191" s="12">
        <v>153600</v>
      </c>
      <c r="G191" s="12">
        <v>127000</v>
      </c>
      <c r="H191" s="19">
        <f t="shared" si="45"/>
        <v>647100</v>
      </c>
      <c r="I191" s="9">
        <f t="shared" si="50"/>
        <v>1013300</v>
      </c>
      <c r="J191" s="12">
        <v>0</v>
      </c>
      <c r="K191" s="12">
        <v>20000</v>
      </c>
      <c r="L191" s="12">
        <v>0</v>
      </c>
      <c r="M191" s="20">
        <f t="shared" si="52"/>
        <v>647100</v>
      </c>
      <c r="N191" s="13">
        <f t="shared" si="51"/>
        <v>346200</v>
      </c>
      <c r="O191" s="12">
        <v>346200</v>
      </c>
      <c r="P191" s="10">
        <f t="shared" si="48"/>
        <v>0</v>
      </c>
    </row>
    <row r="192" spans="1:16" s="14" customFormat="1" ht="15.75" customHeight="1" x14ac:dyDescent="0.25">
      <c r="A192" s="17">
        <v>46139</v>
      </c>
      <c r="B192" s="17" t="s">
        <v>5</v>
      </c>
      <c r="C192" s="18">
        <v>683</v>
      </c>
      <c r="D192" s="12">
        <v>286700</v>
      </c>
      <c r="E192" s="12">
        <v>160000</v>
      </c>
      <c r="F192" s="12">
        <v>0</v>
      </c>
      <c r="G192" s="12">
        <v>318000</v>
      </c>
      <c r="H192" s="19">
        <f t="shared" si="45"/>
        <v>478000</v>
      </c>
      <c r="I192" s="9">
        <f t="shared" si="50"/>
        <v>764700</v>
      </c>
      <c r="J192" s="12">
        <v>0</v>
      </c>
      <c r="K192" s="12">
        <v>0</v>
      </c>
      <c r="L192" s="12">
        <v>0</v>
      </c>
      <c r="M192" s="20">
        <f t="shared" si="52"/>
        <v>478000</v>
      </c>
      <c r="N192" s="13">
        <f t="shared" si="51"/>
        <v>286700</v>
      </c>
      <c r="O192" s="12">
        <v>286700</v>
      </c>
      <c r="P192" s="10">
        <f t="shared" si="48"/>
        <v>0</v>
      </c>
    </row>
    <row r="193" spans="1:16" s="14" customFormat="1" ht="15.75" customHeight="1" x14ac:dyDescent="0.25">
      <c r="A193" s="17">
        <v>46140</v>
      </c>
      <c r="B193" s="17" t="s">
        <v>4</v>
      </c>
      <c r="C193" s="18">
        <v>684</v>
      </c>
      <c r="D193" s="12">
        <v>199300</v>
      </c>
      <c r="E193" s="12">
        <v>116000</v>
      </c>
      <c r="F193" s="12">
        <v>0</v>
      </c>
      <c r="G193" s="12">
        <v>81600</v>
      </c>
      <c r="H193" s="19">
        <f t="shared" si="45"/>
        <v>197600</v>
      </c>
      <c r="I193" s="9">
        <f t="shared" si="50"/>
        <v>396900</v>
      </c>
      <c r="J193" s="12">
        <v>1997200</v>
      </c>
      <c r="K193" s="12">
        <v>0</v>
      </c>
      <c r="L193" s="12">
        <f>63800+820700</f>
        <v>884500</v>
      </c>
      <c r="M193" s="20">
        <f t="shared" si="52"/>
        <v>-1799600</v>
      </c>
      <c r="N193" s="13">
        <f t="shared" si="51"/>
        <v>199300</v>
      </c>
      <c r="O193" s="12">
        <v>199300</v>
      </c>
      <c r="P193" s="10">
        <f t="shared" si="48"/>
        <v>0</v>
      </c>
    </row>
    <row r="194" spans="1:16" s="14" customFormat="1" ht="15.75" customHeight="1" x14ac:dyDescent="0.25">
      <c r="A194" s="32">
        <v>46140</v>
      </c>
      <c r="B194" s="21" t="s">
        <v>5</v>
      </c>
      <c r="C194" s="18">
        <v>685</v>
      </c>
      <c r="D194" s="12">
        <v>370500</v>
      </c>
      <c r="E194" s="12">
        <v>199700</v>
      </c>
      <c r="F194" s="12">
        <v>0</v>
      </c>
      <c r="G194" s="12">
        <v>103000</v>
      </c>
      <c r="H194" s="19">
        <f t="shared" si="45"/>
        <v>302700</v>
      </c>
      <c r="I194" s="9">
        <f t="shared" si="50"/>
        <v>673200</v>
      </c>
      <c r="J194" s="12">
        <v>0</v>
      </c>
      <c r="K194" s="12">
        <v>0</v>
      </c>
      <c r="L194" s="12">
        <v>0</v>
      </c>
      <c r="M194" s="20">
        <f t="shared" si="52"/>
        <v>302700</v>
      </c>
      <c r="N194" s="13">
        <f t="shared" si="51"/>
        <v>370500</v>
      </c>
      <c r="O194" s="12">
        <v>370500</v>
      </c>
      <c r="P194" s="10">
        <f t="shared" si="48"/>
        <v>0</v>
      </c>
    </row>
    <row r="195" spans="1:16" s="14" customFormat="1" ht="15.75" customHeight="1" x14ac:dyDescent="0.25">
      <c r="A195" s="17">
        <v>46141</v>
      </c>
      <c r="B195" s="17" t="s">
        <v>4</v>
      </c>
      <c r="C195" s="18">
        <v>686</v>
      </c>
      <c r="D195" s="12">
        <v>354400</v>
      </c>
      <c r="E195" s="12">
        <v>55000</v>
      </c>
      <c r="F195" s="12">
        <v>0</v>
      </c>
      <c r="G195" s="12">
        <v>80500</v>
      </c>
      <c r="H195" s="19">
        <f t="shared" si="45"/>
        <v>135500</v>
      </c>
      <c r="I195" s="9">
        <f t="shared" si="50"/>
        <v>489900</v>
      </c>
      <c r="J195" s="12">
        <v>0</v>
      </c>
      <c r="K195" s="12">
        <v>2000</v>
      </c>
      <c r="L195" s="12">
        <v>91200</v>
      </c>
      <c r="M195" s="20">
        <f t="shared" si="52"/>
        <v>135500</v>
      </c>
      <c r="N195" s="13">
        <f t="shared" si="51"/>
        <v>352400</v>
      </c>
      <c r="O195" s="12">
        <v>352400</v>
      </c>
      <c r="P195" s="10">
        <f t="shared" si="48"/>
        <v>0</v>
      </c>
    </row>
    <row r="196" spans="1:16" s="14" customFormat="1" ht="15.75" customHeight="1" x14ac:dyDescent="0.25">
      <c r="A196" s="17">
        <v>46141</v>
      </c>
      <c r="B196" s="17" t="s">
        <v>5</v>
      </c>
      <c r="C196" s="18">
        <v>687</v>
      </c>
      <c r="D196" s="12">
        <v>358700</v>
      </c>
      <c r="E196" s="12">
        <v>52600</v>
      </c>
      <c r="F196" s="12">
        <v>0</v>
      </c>
      <c r="G196" s="12">
        <v>375500</v>
      </c>
      <c r="H196" s="19">
        <f t="shared" si="45"/>
        <v>428100</v>
      </c>
      <c r="I196" s="9">
        <f t="shared" si="50"/>
        <v>786800</v>
      </c>
      <c r="J196" s="12">
        <v>0</v>
      </c>
      <c r="K196" s="12">
        <v>17000</v>
      </c>
      <c r="L196" s="12">
        <v>0</v>
      </c>
      <c r="M196" s="20">
        <f t="shared" si="52"/>
        <v>428100</v>
      </c>
      <c r="N196" s="13">
        <f t="shared" si="51"/>
        <v>341700</v>
      </c>
      <c r="O196" s="12">
        <v>341700</v>
      </c>
      <c r="P196" s="10">
        <f t="shared" si="48"/>
        <v>0</v>
      </c>
    </row>
    <row r="197" spans="1:16" s="14" customFormat="1" ht="15.75" customHeight="1" x14ac:dyDescent="0.25">
      <c r="A197" s="17">
        <v>46142</v>
      </c>
      <c r="B197" s="17" t="s">
        <v>4</v>
      </c>
      <c r="C197" s="18">
        <v>688</v>
      </c>
      <c r="D197" s="12">
        <v>163400</v>
      </c>
      <c r="E197" s="12">
        <v>83500</v>
      </c>
      <c r="F197" s="12">
        <v>28000</v>
      </c>
      <c r="G197" s="12">
        <v>85400</v>
      </c>
      <c r="H197" s="19">
        <f t="shared" si="45"/>
        <v>196900</v>
      </c>
      <c r="I197" s="9">
        <f t="shared" si="50"/>
        <v>360300</v>
      </c>
      <c r="J197" s="12">
        <v>1000000</v>
      </c>
      <c r="K197" s="12">
        <v>0</v>
      </c>
      <c r="L197" s="12">
        <f>150000+150000+2000000</f>
        <v>2300000</v>
      </c>
      <c r="M197" s="20">
        <f t="shared" si="52"/>
        <v>-803100</v>
      </c>
      <c r="N197" s="13">
        <f t="shared" si="51"/>
        <v>163400</v>
      </c>
      <c r="O197" s="12">
        <v>163400</v>
      </c>
      <c r="P197" s="10">
        <f t="shared" si="48"/>
        <v>0</v>
      </c>
    </row>
    <row r="198" spans="1:16" s="14" customFormat="1" ht="15.75" customHeight="1" x14ac:dyDescent="0.25">
      <c r="A198" s="17">
        <v>46142</v>
      </c>
      <c r="B198" s="21" t="s">
        <v>5</v>
      </c>
      <c r="C198" s="18">
        <v>689</v>
      </c>
      <c r="D198" s="12">
        <v>436700</v>
      </c>
      <c r="E198" s="12">
        <v>118500</v>
      </c>
      <c r="F198" s="12">
        <v>61400</v>
      </c>
      <c r="G198" s="12">
        <v>144000</v>
      </c>
      <c r="H198" s="19">
        <f t="shared" si="45"/>
        <v>323900</v>
      </c>
      <c r="I198" s="9">
        <f t="shared" si="50"/>
        <v>760600</v>
      </c>
      <c r="J198" s="12">
        <v>0</v>
      </c>
      <c r="K198" s="12">
        <v>0</v>
      </c>
      <c r="L198" s="12">
        <v>0</v>
      </c>
      <c r="M198" s="20">
        <f t="shared" si="52"/>
        <v>323900</v>
      </c>
      <c r="N198" s="13">
        <f t="shared" si="51"/>
        <v>436700</v>
      </c>
      <c r="O198" s="12">
        <v>436700</v>
      </c>
      <c r="P198" s="10">
        <f t="shared" si="48"/>
        <v>0</v>
      </c>
    </row>
    <row r="199" spans="1:16" s="14" customFormat="1" ht="15.75" customHeight="1" x14ac:dyDescent="0.25">
      <c r="A199" s="17">
        <v>46143</v>
      </c>
      <c r="B199" s="17" t="s">
        <v>5</v>
      </c>
      <c r="C199" s="18">
        <v>690</v>
      </c>
      <c r="D199" s="12">
        <v>178700</v>
      </c>
      <c r="E199" s="12">
        <v>119000</v>
      </c>
      <c r="F199" s="12">
        <v>25000</v>
      </c>
      <c r="G199" s="12">
        <v>138000</v>
      </c>
      <c r="H199" s="19">
        <f t="shared" si="45"/>
        <v>282000</v>
      </c>
      <c r="I199" s="9">
        <f t="shared" si="50"/>
        <v>460700</v>
      </c>
      <c r="J199" s="12">
        <v>0</v>
      </c>
      <c r="K199" s="12">
        <v>0</v>
      </c>
      <c r="L199" s="12">
        <v>0</v>
      </c>
      <c r="M199" s="20">
        <f t="shared" si="52"/>
        <v>282000</v>
      </c>
      <c r="N199" s="13">
        <f t="shared" si="51"/>
        <v>178700</v>
      </c>
      <c r="O199" s="12">
        <v>178700</v>
      </c>
      <c r="P199" s="10">
        <f t="shared" si="48"/>
        <v>0</v>
      </c>
    </row>
    <row r="200" spans="1:16" s="14" customFormat="1" ht="15.75" customHeight="1" x14ac:dyDescent="0.25">
      <c r="A200" s="17">
        <v>46143</v>
      </c>
      <c r="B200" s="17" t="s">
        <v>4</v>
      </c>
      <c r="C200" s="18">
        <v>691</v>
      </c>
      <c r="D200" s="12">
        <v>238400</v>
      </c>
      <c r="E200" s="12">
        <v>316700</v>
      </c>
      <c r="F200" s="12">
        <v>20000</v>
      </c>
      <c r="G200" s="12">
        <v>15000</v>
      </c>
      <c r="H200" s="19">
        <f t="shared" si="45"/>
        <v>351700</v>
      </c>
      <c r="I200" s="9">
        <f t="shared" si="50"/>
        <v>590100</v>
      </c>
      <c r="J200" s="12">
        <v>0</v>
      </c>
      <c r="K200" s="12">
        <v>0</v>
      </c>
      <c r="L200" s="12">
        <f>63600+236300+157900+224300</f>
        <v>682100</v>
      </c>
      <c r="M200" s="20">
        <f t="shared" si="52"/>
        <v>351700</v>
      </c>
      <c r="N200" s="13">
        <f t="shared" si="51"/>
        <v>238400</v>
      </c>
      <c r="O200" s="12">
        <v>238400</v>
      </c>
      <c r="P200" s="10">
        <f t="shared" si="48"/>
        <v>0</v>
      </c>
    </row>
    <row r="201" spans="1:16" s="14" customFormat="1" ht="15.75" customHeight="1" x14ac:dyDescent="0.25">
      <c r="A201" s="17">
        <v>46144</v>
      </c>
      <c r="B201" s="17" t="s">
        <v>4</v>
      </c>
      <c r="C201" s="18">
        <v>692</v>
      </c>
      <c r="D201" s="12">
        <v>780600</v>
      </c>
      <c r="E201" s="12">
        <v>197600</v>
      </c>
      <c r="F201" s="12">
        <v>92500</v>
      </c>
      <c r="G201" s="12">
        <v>83000</v>
      </c>
      <c r="H201" s="19">
        <f t="shared" si="45"/>
        <v>373100</v>
      </c>
      <c r="I201" s="9">
        <f t="shared" si="50"/>
        <v>1153700</v>
      </c>
      <c r="J201" s="12">
        <v>0</v>
      </c>
      <c r="K201" s="12">
        <v>0</v>
      </c>
      <c r="L201" s="12">
        <v>0</v>
      </c>
      <c r="M201" s="20">
        <f t="shared" si="52"/>
        <v>373100</v>
      </c>
      <c r="N201" s="13">
        <f t="shared" si="51"/>
        <v>780600</v>
      </c>
      <c r="O201" s="12">
        <v>780600</v>
      </c>
      <c r="P201" s="10">
        <f t="shared" si="48"/>
        <v>0</v>
      </c>
    </row>
    <row r="202" spans="1:16" s="14" customFormat="1" ht="15.75" customHeight="1" x14ac:dyDescent="0.25">
      <c r="A202" s="17">
        <v>46145</v>
      </c>
      <c r="B202" s="17" t="s">
        <v>5</v>
      </c>
      <c r="C202" s="18">
        <v>693</v>
      </c>
      <c r="D202" s="12">
        <v>406800</v>
      </c>
      <c r="E202" s="12">
        <v>280000</v>
      </c>
      <c r="F202" s="12">
        <v>212000</v>
      </c>
      <c r="G202" s="12">
        <v>68100</v>
      </c>
      <c r="H202" s="19">
        <f t="shared" si="45"/>
        <v>560100</v>
      </c>
      <c r="I202" s="9">
        <f t="shared" si="50"/>
        <v>966900</v>
      </c>
      <c r="J202" s="12">
        <v>0</v>
      </c>
      <c r="K202" s="12">
        <v>0</v>
      </c>
      <c r="L202" s="12">
        <v>0</v>
      </c>
      <c r="M202" s="20">
        <f t="shared" si="52"/>
        <v>560100</v>
      </c>
      <c r="N202" s="13">
        <f t="shared" si="51"/>
        <v>406800</v>
      </c>
      <c r="O202" s="12">
        <v>406800</v>
      </c>
      <c r="P202" s="10">
        <f t="shared" ref="P202:P409" si="53">(N202-O202)*(-1)</f>
        <v>0</v>
      </c>
    </row>
    <row r="203" spans="1:16" s="14" customFormat="1" ht="15.75" customHeight="1" x14ac:dyDescent="0.25">
      <c r="A203" s="17">
        <v>46146</v>
      </c>
      <c r="B203" s="17" t="s">
        <v>5</v>
      </c>
      <c r="C203" s="18">
        <v>694</v>
      </c>
      <c r="D203" s="12">
        <v>190800</v>
      </c>
      <c r="E203" s="12">
        <v>13000</v>
      </c>
      <c r="F203" s="12">
        <v>23000</v>
      </c>
      <c r="G203" s="12">
        <v>112000</v>
      </c>
      <c r="H203" s="19">
        <f t="shared" si="45"/>
        <v>148000</v>
      </c>
      <c r="I203" s="76">
        <f t="shared" si="50"/>
        <v>338800</v>
      </c>
      <c r="J203" s="12">
        <v>0</v>
      </c>
      <c r="K203" s="12">
        <v>0</v>
      </c>
      <c r="L203" s="12">
        <v>0</v>
      </c>
      <c r="M203" s="20">
        <f t="shared" si="52"/>
        <v>148000</v>
      </c>
      <c r="N203" s="13">
        <f t="shared" si="51"/>
        <v>190800</v>
      </c>
      <c r="O203" s="12">
        <v>190800</v>
      </c>
      <c r="P203" s="10">
        <f t="shared" si="53"/>
        <v>0</v>
      </c>
    </row>
    <row r="204" spans="1:16" s="14" customFormat="1" ht="15.75" customHeight="1" x14ac:dyDescent="0.25">
      <c r="A204" s="17">
        <v>46146</v>
      </c>
      <c r="B204" s="17" t="s">
        <v>4</v>
      </c>
      <c r="C204" s="18">
        <v>695</v>
      </c>
      <c r="D204" s="12">
        <v>471400</v>
      </c>
      <c r="E204" s="12">
        <v>133800</v>
      </c>
      <c r="F204" s="12">
        <v>70000</v>
      </c>
      <c r="G204" s="12">
        <v>300000</v>
      </c>
      <c r="H204" s="19">
        <f t="shared" si="45"/>
        <v>503800</v>
      </c>
      <c r="I204" s="9">
        <f t="shared" si="50"/>
        <v>975200</v>
      </c>
      <c r="J204" s="12">
        <v>0</v>
      </c>
      <c r="K204" s="12">
        <v>0</v>
      </c>
      <c r="L204" s="12">
        <v>0</v>
      </c>
      <c r="M204" s="20">
        <f t="shared" si="52"/>
        <v>503800</v>
      </c>
      <c r="N204" s="13">
        <f t="shared" si="51"/>
        <v>471400</v>
      </c>
      <c r="O204" s="12">
        <v>471400</v>
      </c>
      <c r="P204" s="10">
        <f t="shared" si="53"/>
        <v>0</v>
      </c>
    </row>
    <row r="205" spans="1:16" s="14" customFormat="1" ht="15.75" customHeight="1" x14ac:dyDescent="0.25">
      <c r="A205" s="17">
        <v>46147</v>
      </c>
      <c r="B205" s="17" t="s">
        <v>5</v>
      </c>
      <c r="C205" s="18">
        <v>696</v>
      </c>
      <c r="D205" s="12">
        <v>200000</v>
      </c>
      <c r="E205" s="12">
        <v>0</v>
      </c>
      <c r="F205" s="12">
        <v>0</v>
      </c>
      <c r="G205" s="12">
        <v>85000</v>
      </c>
      <c r="H205" s="19">
        <f t="shared" si="45"/>
        <v>85000</v>
      </c>
      <c r="I205" s="76">
        <f t="shared" si="50"/>
        <v>285000</v>
      </c>
      <c r="J205" s="12">
        <v>0</v>
      </c>
      <c r="K205" s="12">
        <v>0</v>
      </c>
      <c r="L205" s="12">
        <v>0</v>
      </c>
      <c r="M205" s="20">
        <f t="shared" si="52"/>
        <v>85000</v>
      </c>
      <c r="N205" s="13">
        <f t="shared" si="51"/>
        <v>200000</v>
      </c>
      <c r="O205" s="12">
        <v>200000</v>
      </c>
      <c r="P205" s="10">
        <f t="shared" si="53"/>
        <v>0</v>
      </c>
    </row>
    <row r="206" spans="1:16" s="14" customFormat="1" ht="15.75" customHeight="1" x14ac:dyDescent="0.25">
      <c r="A206" s="17">
        <v>46147</v>
      </c>
      <c r="B206" s="17" t="s">
        <v>4</v>
      </c>
      <c r="C206" s="18">
        <v>697</v>
      </c>
      <c r="D206" s="12">
        <v>452900</v>
      </c>
      <c r="E206" s="12">
        <v>175500</v>
      </c>
      <c r="F206" s="12">
        <v>0</v>
      </c>
      <c r="G206" s="12">
        <v>187000</v>
      </c>
      <c r="H206" s="19">
        <f t="shared" si="45"/>
        <v>362500</v>
      </c>
      <c r="I206" s="9">
        <f t="shared" si="50"/>
        <v>815400</v>
      </c>
      <c r="J206" s="12">
        <v>0</v>
      </c>
      <c r="K206" s="12">
        <v>0</v>
      </c>
      <c r="L206" s="12">
        <v>0</v>
      </c>
      <c r="M206" s="20">
        <f t="shared" si="52"/>
        <v>362500</v>
      </c>
      <c r="N206" s="13">
        <f t="shared" si="51"/>
        <v>452900</v>
      </c>
      <c r="O206" s="12">
        <v>452900</v>
      </c>
      <c r="P206" s="10">
        <f t="shared" si="53"/>
        <v>0</v>
      </c>
    </row>
    <row r="207" spans="1:16" s="14" customFormat="1" ht="15.75" customHeight="1" x14ac:dyDescent="0.25">
      <c r="A207" s="17">
        <v>46148</v>
      </c>
      <c r="B207" s="17" t="s">
        <v>4</v>
      </c>
      <c r="C207" s="18">
        <v>698</v>
      </c>
      <c r="D207" s="12">
        <v>881100</v>
      </c>
      <c r="E207" s="12">
        <v>227500</v>
      </c>
      <c r="F207" s="12">
        <v>125000</v>
      </c>
      <c r="G207" s="12">
        <v>161500</v>
      </c>
      <c r="H207" s="19">
        <f t="shared" si="45"/>
        <v>514000</v>
      </c>
      <c r="I207" s="9">
        <f t="shared" si="50"/>
        <v>1395100</v>
      </c>
      <c r="J207" s="12">
        <v>3000000</v>
      </c>
      <c r="K207" s="12">
        <v>0</v>
      </c>
      <c r="L207" s="12">
        <f>40900+8000+32000+23000+145000+10000+15000</f>
        <v>273900</v>
      </c>
      <c r="M207" s="20">
        <f t="shared" si="52"/>
        <v>-2486000</v>
      </c>
      <c r="N207" s="13">
        <f t="shared" si="51"/>
        <v>881100</v>
      </c>
      <c r="O207" s="12">
        <v>881100</v>
      </c>
      <c r="P207" s="10">
        <f t="shared" si="53"/>
        <v>0</v>
      </c>
    </row>
    <row r="208" spans="1:16" s="14" customFormat="1" ht="15.75" customHeight="1" x14ac:dyDescent="0.25">
      <c r="A208" s="17">
        <v>46149</v>
      </c>
      <c r="B208" s="17" t="s">
        <v>5</v>
      </c>
      <c r="C208" s="18">
        <v>699</v>
      </c>
      <c r="D208" s="12">
        <v>247700</v>
      </c>
      <c r="E208" s="12">
        <v>0</v>
      </c>
      <c r="F208" s="12">
        <v>0</v>
      </c>
      <c r="G208" s="12">
        <v>31000</v>
      </c>
      <c r="H208" s="19">
        <f t="shared" si="45"/>
        <v>31000</v>
      </c>
      <c r="I208" s="76">
        <f t="shared" si="50"/>
        <v>278700</v>
      </c>
      <c r="J208" s="12">
        <v>0</v>
      </c>
      <c r="K208" s="12">
        <v>14000</v>
      </c>
      <c r="L208" s="12">
        <v>0</v>
      </c>
      <c r="M208" s="20">
        <f t="shared" si="52"/>
        <v>31000</v>
      </c>
      <c r="N208" s="13">
        <f t="shared" si="51"/>
        <v>233700</v>
      </c>
      <c r="O208" s="12">
        <v>233700</v>
      </c>
      <c r="P208" s="10">
        <f t="shared" si="53"/>
        <v>0</v>
      </c>
    </row>
    <row r="209" spans="1:16" s="14" customFormat="1" ht="15.75" customHeight="1" x14ac:dyDescent="0.25">
      <c r="A209" s="17">
        <v>46149</v>
      </c>
      <c r="B209" s="17" t="s">
        <v>4</v>
      </c>
      <c r="C209" s="18">
        <v>700</v>
      </c>
      <c r="D209" s="12">
        <v>343900</v>
      </c>
      <c r="E209" s="12">
        <v>186000</v>
      </c>
      <c r="F209" s="12">
        <v>70200</v>
      </c>
      <c r="G209" s="12">
        <v>158200</v>
      </c>
      <c r="H209" s="19">
        <f t="shared" si="45"/>
        <v>414400</v>
      </c>
      <c r="I209" s="9">
        <f t="shared" si="50"/>
        <v>758300</v>
      </c>
      <c r="J209" s="12">
        <v>0</v>
      </c>
      <c r="K209" s="12">
        <v>0</v>
      </c>
      <c r="L209" s="12">
        <f>6000+19000+26000</f>
        <v>51000</v>
      </c>
      <c r="M209" s="20">
        <f t="shared" si="52"/>
        <v>414400</v>
      </c>
      <c r="N209" s="13">
        <f t="shared" si="51"/>
        <v>343900</v>
      </c>
      <c r="O209" s="12">
        <v>343900</v>
      </c>
      <c r="P209" s="10">
        <f t="shared" si="53"/>
        <v>0</v>
      </c>
    </row>
    <row r="210" spans="1:16" s="14" customFormat="1" ht="15.75" customHeight="1" x14ac:dyDescent="0.25">
      <c r="A210" s="17">
        <v>46150</v>
      </c>
      <c r="B210" s="17" t="s">
        <v>173</v>
      </c>
      <c r="C210" s="18">
        <v>701</v>
      </c>
      <c r="D210" s="12">
        <v>245200</v>
      </c>
      <c r="E210" s="12">
        <v>119000</v>
      </c>
      <c r="F210" s="12">
        <v>35800</v>
      </c>
      <c r="G210" s="12">
        <v>67000</v>
      </c>
      <c r="H210" s="19">
        <f t="shared" si="45"/>
        <v>221800</v>
      </c>
      <c r="I210" s="9">
        <f t="shared" si="50"/>
        <v>467000</v>
      </c>
      <c r="J210" s="12">
        <v>0</v>
      </c>
      <c r="K210" s="12">
        <v>13000</v>
      </c>
      <c r="L210" s="12">
        <v>0</v>
      </c>
      <c r="M210" s="20">
        <f t="shared" si="52"/>
        <v>221800</v>
      </c>
      <c r="N210" s="13">
        <f t="shared" si="51"/>
        <v>232200</v>
      </c>
      <c r="O210" s="12">
        <v>232200</v>
      </c>
      <c r="P210" s="10">
        <f t="shared" si="53"/>
        <v>0</v>
      </c>
    </row>
    <row r="211" spans="1:16" s="14" customFormat="1" ht="15.75" customHeight="1" x14ac:dyDescent="0.25">
      <c r="A211" s="17">
        <v>46150</v>
      </c>
      <c r="B211" s="17" t="s">
        <v>4</v>
      </c>
      <c r="C211" s="18">
        <v>702</v>
      </c>
      <c r="D211" s="12">
        <v>340800</v>
      </c>
      <c r="E211" s="12">
        <v>282800</v>
      </c>
      <c r="F211" s="12">
        <v>59000</v>
      </c>
      <c r="G211" s="12">
        <v>28700</v>
      </c>
      <c r="H211" s="19">
        <f t="shared" si="45"/>
        <v>370500</v>
      </c>
      <c r="I211" s="9">
        <f t="shared" si="50"/>
        <v>711300</v>
      </c>
      <c r="J211" s="12">
        <v>75000</v>
      </c>
      <c r="K211" s="12">
        <v>22499</v>
      </c>
      <c r="L211" s="12">
        <v>154500</v>
      </c>
      <c r="M211" s="20">
        <f t="shared" si="52"/>
        <v>295500</v>
      </c>
      <c r="N211" s="13">
        <f t="shared" si="51"/>
        <v>318301</v>
      </c>
      <c r="O211" s="12">
        <v>318500</v>
      </c>
      <c r="P211" s="10">
        <f t="shared" si="53"/>
        <v>199</v>
      </c>
    </row>
    <row r="212" spans="1:16" s="14" customFormat="1" ht="15.75" customHeight="1" x14ac:dyDescent="0.25">
      <c r="A212" s="17">
        <v>46151</v>
      </c>
      <c r="B212" s="21" t="s">
        <v>173</v>
      </c>
      <c r="C212" s="18">
        <v>703</v>
      </c>
      <c r="D212" s="31">
        <f>901800+28900-47000</f>
        <v>883700</v>
      </c>
      <c r="E212" s="12">
        <v>376600</v>
      </c>
      <c r="F212" s="12">
        <f>11000</f>
        <v>11000</v>
      </c>
      <c r="G212" s="31">
        <f>176000-28900</f>
        <v>147100</v>
      </c>
      <c r="H212" s="19">
        <f>E212+F212+G212</f>
        <v>534700</v>
      </c>
      <c r="I212" s="9">
        <f t="shared" si="50"/>
        <v>1418400</v>
      </c>
      <c r="J212" s="12">
        <v>100000</v>
      </c>
      <c r="K212" s="12">
        <v>0</v>
      </c>
      <c r="L212" s="12">
        <v>0</v>
      </c>
      <c r="M212" s="20">
        <f t="shared" si="52"/>
        <v>434700</v>
      </c>
      <c r="N212" s="13">
        <f t="shared" si="51"/>
        <v>883700</v>
      </c>
      <c r="O212" s="12">
        <v>883700</v>
      </c>
      <c r="P212" s="10">
        <f>(N212-O212)*(-1)</f>
        <v>0</v>
      </c>
    </row>
    <row r="213" spans="1:16" s="14" customFormat="1" ht="15.75" customHeight="1" x14ac:dyDescent="0.25">
      <c r="A213" s="17">
        <v>46152</v>
      </c>
      <c r="B213" s="17" t="s">
        <v>4</v>
      </c>
      <c r="C213" s="18">
        <v>704</v>
      </c>
      <c r="D213" s="12">
        <v>474700</v>
      </c>
      <c r="E213" s="12">
        <v>204700</v>
      </c>
      <c r="F213" s="12">
        <v>0</v>
      </c>
      <c r="G213" s="12">
        <v>327500</v>
      </c>
      <c r="H213" s="19">
        <f t="shared" si="45"/>
        <v>532200</v>
      </c>
      <c r="I213" s="9">
        <f t="shared" si="50"/>
        <v>1006900</v>
      </c>
      <c r="J213" s="12">
        <v>0</v>
      </c>
      <c r="K213" s="12">
        <v>0</v>
      </c>
      <c r="L213" s="12">
        <v>9000</v>
      </c>
      <c r="M213" s="20">
        <f t="shared" si="52"/>
        <v>532200</v>
      </c>
      <c r="N213" s="13">
        <v>465400</v>
      </c>
      <c r="O213" s="12">
        <v>465400</v>
      </c>
      <c r="P213" s="10">
        <f t="shared" si="53"/>
        <v>0</v>
      </c>
    </row>
    <row r="214" spans="1:16" s="14" customFormat="1" ht="15.75" customHeight="1" x14ac:dyDescent="0.25">
      <c r="A214" s="17">
        <v>46153</v>
      </c>
      <c r="B214" s="17" t="s">
        <v>4</v>
      </c>
      <c r="C214" s="18">
        <v>705</v>
      </c>
      <c r="D214" s="12">
        <v>421100</v>
      </c>
      <c r="E214" s="12">
        <v>24000</v>
      </c>
      <c r="F214" s="12">
        <v>0</v>
      </c>
      <c r="G214" s="12">
        <v>169000</v>
      </c>
      <c r="H214" s="19">
        <f t="shared" si="45"/>
        <v>193000</v>
      </c>
      <c r="I214" s="9">
        <f t="shared" si="50"/>
        <v>614100</v>
      </c>
      <c r="J214" s="12">
        <v>0</v>
      </c>
      <c r="K214" s="12">
        <v>0</v>
      </c>
      <c r="L214" s="12">
        <v>62000</v>
      </c>
      <c r="M214" s="20">
        <f t="shared" si="52"/>
        <v>193000</v>
      </c>
      <c r="N214" s="13">
        <f t="shared" si="51"/>
        <v>421100</v>
      </c>
      <c r="O214" s="12">
        <v>421100</v>
      </c>
      <c r="P214" s="10">
        <f t="shared" si="53"/>
        <v>0</v>
      </c>
    </row>
    <row r="215" spans="1:16" s="14" customFormat="1" ht="15.75" customHeight="1" x14ac:dyDescent="0.25">
      <c r="A215" s="17">
        <v>46153</v>
      </c>
      <c r="B215" s="17" t="s">
        <v>5</v>
      </c>
      <c r="C215" s="18">
        <v>706</v>
      </c>
      <c r="D215" s="12">
        <v>238200</v>
      </c>
      <c r="E215" s="12">
        <v>172800</v>
      </c>
      <c r="F215" s="12">
        <v>258600</v>
      </c>
      <c r="G215" s="12">
        <v>32000</v>
      </c>
      <c r="H215" s="19">
        <f t="shared" si="45"/>
        <v>463400</v>
      </c>
      <c r="I215" s="9">
        <f t="shared" si="50"/>
        <v>701600</v>
      </c>
      <c r="J215" s="12">
        <v>0</v>
      </c>
      <c r="K215" s="12">
        <v>0</v>
      </c>
      <c r="L215" s="12">
        <v>24143</v>
      </c>
      <c r="M215" s="20">
        <f t="shared" si="52"/>
        <v>463400</v>
      </c>
      <c r="N215" s="13">
        <f t="shared" si="51"/>
        <v>238200</v>
      </c>
      <c r="O215" s="12">
        <v>238200</v>
      </c>
      <c r="P215" s="10">
        <f t="shared" si="53"/>
        <v>0</v>
      </c>
    </row>
    <row r="216" spans="1:16" s="14" customFormat="1" ht="15.75" customHeight="1" x14ac:dyDescent="0.25">
      <c r="A216" s="17">
        <v>46154</v>
      </c>
      <c r="B216" s="17" t="s">
        <v>4</v>
      </c>
      <c r="C216" s="18">
        <v>707</v>
      </c>
      <c r="D216" s="12">
        <v>216458</v>
      </c>
      <c r="E216" s="12">
        <v>85800</v>
      </c>
      <c r="F216" s="12">
        <v>5000</v>
      </c>
      <c r="G216" s="12">
        <v>133500</v>
      </c>
      <c r="H216" s="19">
        <f t="shared" si="45"/>
        <v>224300</v>
      </c>
      <c r="I216" s="9">
        <f t="shared" si="50"/>
        <v>440758</v>
      </c>
      <c r="J216" s="12">
        <v>1974200</v>
      </c>
      <c r="K216" s="12">
        <v>32000</v>
      </c>
      <c r="L216" s="12">
        <f>658700+158000+16000+336300</f>
        <v>1169000</v>
      </c>
      <c r="M216" s="20">
        <f t="shared" si="52"/>
        <v>-1749900</v>
      </c>
      <c r="N216" s="13">
        <f t="shared" si="51"/>
        <v>184458</v>
      </c>
      <c r="O216" s="12">
        <v>184500</v>
      </c>
      <c r="P216" s="10">
        <f t="shared" si="53"/>
        <v>42</v>
      </c>
    </row>
    <row r="217" spans="1:16" s="14" customFormat="1" ht="15.75" customHeight="1" x14ac:dyDescent="0.25">
      <c r="A217" s="17">
        <v>46154</v>
      </c>
      <c r="B217" s="21" t="s">
        <v>5</v>
      </c>
      <c r="C217" s="18">
        <v>708</v>
      </c>
      <c r="D217" s="12">
        <v>225900</v>
      </c>
      <c r="E217" s="12">
        <v>129700</v>
      </c>
      <c r="F217" s="31">
        <v>69500</v>
      </c>
      <c r="G217" s="12">
        <v>360000</v>
      </c>
      <c r="H217" s="19">
        <f t="shared" si="45"/>
        <v>559200</v>
      </c>
      <c r="I217" s="9">
        <f t="shared" si="50"/>
        <v>785100</v>
      </c>
      <c r="J217" s="12">
        <v>0</v>
      </c>
      <c r="K217" s="12">
        <v>5000</v>
      </c>
      <c r="L217" s="12">
        <v>0</v>
      </c>
      <c r="M217" s="20">
        <f t="shared" si="52"/>
        <v>559200</v>
      </c>
      <c r="N217" s="13">
        <f t="shared" si="51"/>
        <v>220900</v>
      </c>
      <c r="O217" s="12">
        <v>220900</v>
      </c>
      <c r="P217" s="10">
        <f t="shared" si="53"/>
        <v>0</v>
      </c>
    </row>
    <row r="218" spans="1:16" s="14" customFormat="1" ht="15.75" customHeight="1" x14ac:dyDescent="0.25">
      <c r="A218" s="17">
        <v>46155</v>
      </c>
      <c r="B218" s="17" t="s">
        <v>4</v>
      </c>
      <c r="C218" s="18">
        <v>709</v>
      </c>
      <c r="D218" s="12">
        <v>357700</v>
      </c>
      <c r="E218" s="12">
        <v>76500</v>
      </c>
      <c r="F218" s="12">
        <v>2201000</v>
      </c>
      <c r="G218" s="12">
        <v>42500</v>
      </c>
      <c r="H218" s="19">
        <f t="shared" ref="H218:H220" si="54">E218+F218+G218</f>
        <v>2320000</v>
      </c>
      <c r="I218" s="9">
        <f t="shared" ref="I218:I220" si="55">D218+H218</f>
        <v>2677700</v>
      </c>
      <c r="J218" s="12">
        <v>0</v>
      </c>
      <c r="K218" s="12">
        <v>0</v>
      </c>
      <c r="L218" s="12">
        <f>490200+101700</f>
        <v>591900</v>
      </c>
      <c r="M218" s="20">
        <f t="shared" ref="M218:M220" si="56">H218-J218</f>
        <v>2320000</v>
      </c>
      <c r="N218" s="13">
        <f t="shared" ref="N218:N220" si="57">D218-K218</f>
        <v>357700</v>
      </c>
      <c r="O218" s="12">
        <v>357700</v>
      </c>
      <c r="P218" s="10">
        <f t="shared" si="53"/>
        <v>0</v>
      </c>
    </row>
    <row r="219" spans="1:16" s="14" customFormat="1" ht="15.75" customHeight="1" x14ac:dyDescent="0.25">
      <c r="A219" s="17">
        <v>46155</v>
      </c>
      <c r="B219" s="17" t="s">
        <v>5</v>
      </c>
      <c r="C219" s="18">
        <v>710</v>
      </c>
      <c r="D219" s="12">
        <v>429900</v>
      </c>
      <c r="E219" s="12">
        <v>82500</v>
      </c>
      <c r="F219" s="12">
        <v>0</v>
      </c>
      <c r="G219" s="12">
        <v>23000</v>
      </c>
      <c r="H219" s="19">
        <f t="shared" si="54"/>
        <v>105500</v>
      </c>
      <c r="I219" s="9">
        <f t="shared" si="55"/>
        <v>535400</v>
      </c>
      <c r="J219" s="12">
        <v>0</v>
      </c>
      <c r="K219" s="12">
        <v>0</v>
      </c>
      <c r="L219" s="12">
        <v>0</v>
      </c>
      <c r="M219" s="20">
        <f t="shared" si="56"/>
        <v>105500</v>
      </c>
      <c r="N219" s="13">
        <f t="shared" si="57"/>
        <v>429900</v>
      </c>
      <c r="O219" s="12">
        <v>429900</v>
      </c>
      <c r="P219" s="10">
        <f t="shared" si="53"/>
        <v>0</v>
      </c>
    </row>
    <row r="220" spans="1:16" s="14" customFormat="1" ht="15.75" customHeight="1" x14ac:dyDescent="0.25">
      <c r="A220" s="17">
        <v>46156</v>
      </c>
      <c r="B220" s="17" t="s">
        <v>4</v>
      </c>
      <c r="C220" s="18">
        <v>711</v>
      </c>
      <c r="D220" s="12">
        <v>294600</v>
      </c>
      <c r="E220" s="12">
        <v>34000</v>
      </c>
      <c r="F220" s="12">
        <v>0</v>
      </c>
      <c r="G220" s="12">
        <v>186000</v>
      </c>
      <c r="H220" s="19">
        <f t="shared" si="54"/>
        <v>220000</v>
      </c>
      <c r="I220" s="9">
        <f t="shared" si="55"/>
        <v>514600</v>
      </c>
      <c r="J220" s="12">
        <v>0</v>
      </c>
      <c r="K220" s="12">
        <v>0</v>
      </c>
      <c r="L220" s="12">
        <v>0</v>
      </c>
      <c r="M220" s="20">
        <f t="shared" si="56"/>
        <v>220000</v>
      </c>
      <c r="N220" s="13">
        <f t="shared" si="57"/>
        <v>294600</v>
      </c>
      <c r="O220" s="12">
        <v>294600</v>
      </c>
      <c r="P220" s="10">
        <f t="shared" si="53"/>
        <v>0</v>
      </c>
    </row>
    <row r="221" spans="1:16" s="14" customFormat="1" ht="15.75" customHeight="1" x14ac:dyDescent="0.25">
      <c r="A221" s="17">
        <v>46156</v>
      </c>
      <c r="B221" s="17" t="s">
        <v>5</v>
      </c>
      <c r="C221" s="18">
        <v>712</v>
      </c>
      <c r="D221" s="12">
        <v>391300</v>
      </c>
      <c r="E221" s="12">
        <v>273500</v>
      </c>
      <c r="F221" s="12">
        <v>13000</v>
      </c>
      <c r="G221" s="12">
        <v>490000</v>
      </c>
      <c r="H221" s="19">
        <f t="shared" si="45"/>
        <v>776500</v>
      </c>
      <c r="I221" s="9">
        <f t="shared" si="50"/>
        <v>1167800</v>
      </c>
      <c r="J221" s="12">
        <v>0</v>
      </c>
      <c r="K221" s="12">
        <v>5000</v>
      </c>
      <c r="L221" s="12">
        <v>10000</v>
      </c>
      <c r="M221" s="20">
        <f t="shared" si="52"/>
        <v>776500</v>
      </c>
      <c r="N221" s="13">
        <f t="shared" si="51"/>
        <v>386300</v>
      </c>
      <c r="O221" s="12">
        <v>386300</v>
      </c>
      <c r="P221" s="10">
        <f t="shared" si="53"/>
        <v>0</v>
      </c>
    </row>
    <row r="222" spans="1:16" s="14" customFormat="1" ht="15.75" customHeight="1" x14ac:dyDescent="0.25">
      <c r="A222" s="17">
        <v>46157</v>
      </c>
      <c r="B222" s="17" t="s">
        <v>4</v>
      </c>
      <c r="C222" s="18">
        <v>713</v>
      </c>
      <c r="D222" s="12">
        <v>276500</v>
      </c>
      <c r="E222" s="12">
        <v>34000</v>
      </c>
      <c r="F222" s="12">
        <v>0</v>
      </c>
      <c r="G222" s="12">
        <v>266500</v>
      </c>
      <c r="H222" s="19">
        <f t="shared" si="45"/>
        <v>300500</v>
      </c>
      <c r="I222" s="9">
        <f t="shared" si="50"/>
        <v>577000</v>
      </c>
      <c r="J222" s="12">
        <v>58000</v>
      </c>
      <c r="K222" s="12">
        <v>0</v>
      </c>
      <c r="L222" s="12">
        <f>56000+201300+36500</f>
        <v>293800</v>
      </c>
      <c r="M222" s="20">
        <f t="shared" si="52"/>
        <v>242500</v>
      </c>
      <c r="N222" s="13">
        <f t="shared" si="51"/>
        <v>276500</v>
      </c>
      <c r="O222" s="12">
        <v>276500</v>
      </c>
      <c r="P222" s="10">
        <f t="shared" si="53"/>
        <v>0</v>
      </c>
    </row>
    <row r="223" spans="1:16" s="14" customFormat="1" ht="15.75" customHeight="1" x14ac:dyDescent="0.25">
      <c r="A223" s="17">
        <v>46157</v>
      </c>
      <c r="B223" s="17" t="s">
        <v>5</v>
      </c>
      <c r="C223" s="18">
        <v>714</v>
      </c>
      <c r="D223" s="12">
        <f>146000-F223</f>
        <v>141000</v>
      </c>
      <c r="E223" s="12">
        <v>379200</v>
      </c>
      <c r="F223" s="12">
        <v>5000</v>
      </c>
      <c r="G223" s="12">
        <v>259000</v>
      </c>
      <c r="H223" s="19">
        <f t="shared" si="45"/>
        <v>643200</v>
      </c>
      <c r="I223" s="9">
        <f t="shared" si="50"/>
        <v>784200</v>
      </c>
      <c r="J223" s="12">
        <v>0</v>
      </c>
      <c r="K223" s="12">
        <v>5000</v>
      </c>
      <c r="L223" s="12">
        <v>5000</v>
      </c>
      <c r="M223" s="20">
        <f t="shared" si="52"/>
        <v>643200</v>
      </c>
      <c r="N223" s="13">
        <f t="shared" si="51"/>
        <v>136000</v>
      </c>
      <c r="O223" s="12">
        <v>136000</v>
      </c>
      <c r="P223" s="10">
        <f t="shared" si="53"/>
        <v>0</v>
      </c>
    </row>
    <row r="224" spans="1:16" s="14" customFormat="1" ht="15.75" customHeight="1" x14ac:dyDescent="0.25">
      <c r="A224" s="17">
        <v>46038</v>
      </c>
      <c r="B224" s="17" t="s">
        <v>4</v>
      </c>
      <c r="C224" s="18">
        <v>715</v>
      </c>
      <c r="D224" s="12">
        <v>968700</v>
      </c>
      <c r="E224" s="12">
        <v>995100</v>
      </c>
      <c r="F224" s="12">
        <v>0</v>
      </c>
      <c r="G224" s="12">
        <v>176000</v>
      </c>
      <c r="H224" s="19">
        <f t="shared" si="45"/>
        <v>1171100</v>
      </c>
      <c r="I224" s="9">
        <f t="shared" si="50"/>
        <v>2139800</v>
      </c>
      <c r="J224" s="12">
        <f>20000+232000</f>
        <v>252000</v>
      </c>
      <c r="K224" s="12">
        <v>10000</v>
      </c>
      <c r="L224" s="12">
        <f>85000+3000000+100000+22000+150000+150000+500000+500000+250000+78000+65000+112000</f>
        <v>5012000</v>
      </c>
      <c r="M224" s="20">
        <f t="shared" si="52"/>
        <v>919100</v>
      </c>
      <c r="N224" s="13">
        <f t="shared" si="51"/>
        <v>958700</v>
      </c>
      <c r="O224" s="12">
        <v>958700</v>
      </c>
      <c r="P224" s="10">
        <f t="shared" si="53"/>
        <v>0</v>
      </c>
    </row>
    <row r="225" spans="1:16" s="14" customFormat="1" ht="15.75" customHeight="1" x14ac:dyDescent="0.25">
      <c r="A225" s="17">
        <v>46159</v>
      </c>
      <c r="B225" s="17" t="s">
        <v>4</v>
      </c>
      <c r="C225" s="18">
        <v>716</v>
      </c>
      <c r="D225" s="12">
        <v>176200</v>
      </c>
      <c r="E225" s="12">
        <v>87600</v>
      </c>
      <c r="F225" s="12">
        <v>36000</v>
      </c>
      <c r="G225" s="12">
        <v>28500</v>
      </c>
      <c r="H225" s="19">
        <f t="shared" si="45"/>
        <v>152100</v>
      </c>
      <c r="I225" s="9">
        <f t="shared" si="50"/>
        <v>328300</v>
      </c>
      <c r="J225" s="12">
        <v>0</v>
      </c>
      <c r="K225" s="12">
        <v>0</v>
      </c>
      <c r="L225" s="12">
        <v>0</v>
      </c>
      <c r="M225" s="20">
        <f t="shared" si="52"/>
        <v>152100</v>
      </c>
      <c r="N225" s="13">
        <f t="shared" si="51"/>
        <v>176200</v>
      </c>
      <c r="O225" s="12">
        <v>176200</v>
      </c>
      <c r="P225" s="10">
        <f t="shared" si="53"/>
        <v>0</v>
      </c>
    </row>
    <row r="226" spans="1:16" s="14" customFormat="1" ht="15.75" customHeight="1" x14ac:dyDescent="0.25">
      <c r="A226" s="17">
        <v>46159</v>
      </c>
      <c r="B226" s="17" t="s">
        <v>5</v>
      </c>
      <c r="C226" s="18">
        <v>717</v>
      </c>
      <c r="D226" s="12">
        <v>220300</v>
      </c>
      <c r="E226" s="12">
        <v>40000</v>
      </c>
      <c r="F226" s="12">
        <v>20000</v>
      </c>
      <c r="G226" s="12">
        <v>153000</v>
      </c>
      <c r="H226" s="19">
        <f t="shared" si="45"/>
        <v>213000</v>
      </c>
      <c r="I226" s="9">
        <f t="shared" si="50"/>
        <v>433300</v>
      </c>
      <c r="J226" s="12">
        <v>0</v>
      </c>
      <c r="K226" s="12">
        <v>0</v>
      </c>
      <c r="L226" s="12">
        <v>0</v>
      </c>
      <c r="M226" s="20">
        <f t="shared" ref="M226" si="58">H226-J226</f>
        <v>213000</v>
      </c>
      <c r="N226" s="13">
        <f t="shared" ref="N226" si="59">D226-K226</f>
        <v>220300</v>
      </c>
      <c r="O226" s="12">
        <v>220300</v>
      </c>
      <c r="P226" s="10">
        <f t="shared" ref="P226" si="60">(N226-O226)*(-1)</f>
        <v>0</v>
      </c>
    </row>
    <row r="227" spans="1:16" s="14" customFormat="1" ht="15.75" customHeight="1" x14ac:dyDescent="0.25">
      <c r="A227" s="17">
        <v>46160</v>
      </c>
      <c r="B227" s="17" t="s">
        <v>5</v>
      </c>
      <c r="C227" s="18">
        <v>718</v>
      </c>
      <c r="D227" s="12">
        <v>451500</v>
      </c>
      <c r="E227" s="12">
        <v>68500</v>
      </c>
      <c r="F227" s="12">
        <v>8500</v>
      </c>
      <c r="G227" s="12">
        <v>41000</v>
      </c>
      <c r="H227" s="19">
        <f t="shared" si="45"/>
        <v>118000</v>
      </c>
      <c r="I227" s="9">
        <f t="shared" si="50"/>
        <v>569500</v>
      </c>
      <c r="J227" s="12">
        <f>100000+5239312</f>
        <v>5339312</v>
      </c>
      <c r="K227" s="12">
        <v>5000</v>
      </c>
      <c r="L227" s="12">
        <f>12000+158700+220000+3400900</f>
        <v>3791600</v>
      </c>
      <c r="M227" s="20">
        <f t="shared" si="52"/>
        <v>-5221312</v>
      </c>
      <c r="N227" s="13">
        <f t="shared" si="51"/>
        <v>446500</v>
      </c>
      <c r="O227" s="12">
        <v>446500</v>
      </c>
      <c r="P227" s="10">
        <f t="shared" si="53"/>
        <v>0</v>
      </c>
    </row>
    <row r="228" spans="1:16" s="14" customFormat="1" ht="15.75" customHeight="1" x14ac:dyDescent="0.25">
      <c r="A228" s="17">
        <v>46160</v>
      </c>
      <c r="B228" s="17" t="s">
        <v>4</v>
      </c>
      <c r="C228" s="18">
        <v>719</v>
      </c>
      <c r="D228" s="12">
        <v>184200</v>
      </c>
      <c r="E228" s="12">
        <v>157300</v>
      </c>
      <c r="F228" s="12">
        <v>20000</v>
      </c>
      <c r="G228" s="12">
        <v>138000</v>
      </c>
      <c r="H228" s="19">
        <f t="shared" si="45"/>
        <v>315300</v>
      </c>
      <c r="I228" s="9">
        <f t="shared" si="50"/>
        <v>499500</v>
      </c>
      <c r="J228" s="12">
        <v>0</v>
      </c>
      <c r="K228" s="12">
        <v>0</v>
      </c>
      <c r="L228" s="12">
        <v>0</v>
      </c>
      <c r="M228" s="20">
        <f t="shared" si="52"/>
        <v>315300</v>
      </c>
      <c r="N228" s="13">
        <f t="shared" si="51"/>
        <v>184200</v>
      </c>
      <c r="O228" s="12">
        <v>184200</v>
      </c>
      <c r="P228" s="10">
        <f t="shared" si="53"/>
        <v>0</v>
      </c>
    </row>
    <row r="229" spans="1:16" s="14" customFormat="1" ht="15.75" customHeight="1" x14ac:dyDescent="0.25">
      <c r="A229" s="17">
        <v>46161</v>
      </c>
      <c r="B229" s="17" t="s">
        <v>4</v>
      </c>
      <c r="C229" s="18">
        <v>720</v>
      </c>
      <c r="D229" s="12">
        <v>475100</v>
      </c>
      <c r="E229" s="12">
        <v>145000</v>
      </c>
      <c r="F229" s="12">
        <v>135000</v>
      </c>
      <c r="G229" s="12">
        <v>331300</v>
      </c>
      <c r="H229" s="19">
        <f t="shared" si="45"/>
        <v>611300</v>
      </c>
      <c r="I229" s="9">
        <f t="shared" si="50"/>
        <v>1086400</v>
      </c>
      <c r="J229" s="12">
        <v>258528</v>
      </c>
      <c r="K229" s="12">
        <v>7000</v>
      </c>
      <c r="L229" s="12">
        <v>0</v>
      </c>
      <c r="M229" s="20">
        <f t="shared" si="52"/>
        <v>352772</v>
      </c>
      <c r="N229" s="13">
        <f t="shared" si="51"/>
        <v>468100</v>
      </c>
      <c r="O229" s="12">
        <v>468100</v>
      </c>
      <c r="P229" s="10">
        <f t="shared" si="53"/>
        <v>0</v>
      </c>
    </row>
    <row r="230" spans="1:16" s="14" customFormat="1" ht="15.75" customHeight="1" x14ac:dyDescent="0.25">
      <c r="A230" s="17">
        <v>46162</v>
      </c>
      <c r="B230" s="17" t="s">
        <v>5</v>
      </c>
      <c r="C230" s="18">
        <v>721</v>
      </c>
      <c r="D230" s="12">
        <v>435900</v>
      </c>
      <c r="E230" s="12">
        <v>123000</v>
      </c>
      <c r="F230" s="12">
        <v>230000</v>
      </c>
      <c r="G230" s="12">
        <v>184000</v>
      </c>
      <c r="H230" s="19">
        <f t="shared" si="45"/>
        <v>537000</v>
      </c>
      <c r="I230" s="9">
        <f t="shared" si="50"/>
        <v>972900</v>
      </c>
      <c r="J230" s="12">
        <v>0</v>
      </c>
      <c r="K230" s="12">
        <v>5200</v>
      </c>
      <c r="L230" s="12">
        <v>129000</v>
      </c>
      <c r="M230" s="20">
        <f t="shared" si="52"/>
        <v>537000</v>
      </c>
      <c r="N230" s="13">
        <f t="shared" si="51"/>
        <v>430700</v>
      </c>
      <c r="O230" s="12">
        <v>430700</v>
      </c>
      <c r="P230" s="10">
        <f t="shared" si="53"/>
        <v>0</v>
      </c>
    </row>
    <row r="231" spans="1:16" s="14" customFormat="1" ht="15.75" customHeight="1" x14ac:dyDescent="0.25">
      <c r="A231" s="17">
        <v>46163</v>
      </c>
      <c r="B231" s="17" t="s">
        <v>173</v>
      </c>
      <c r="C231" s="18">
        <v>722</v>
      </c>
      <c r="D231" s="12">
        <v>250800</v>
      </c>
      <c r="E231" s="12">
        <v>40000</v>
      </c>
      <c r="F231" s="12">
        <v>0</v>
      </c>
      <c r="G231" s="12">
        <v>218300</v>
      </c>
      <c r="H231" s="19">
        <f t="shared" si="45"/>
        <v>258300</v>
      </c>
      <c r="I231" s="9">
        <f t="shared" si="50"/>
        <v>509100</v>
      </c>
      <c r="J231" s="12">
        <v>0</v>
      </c>
      <c r="K231" s="12">
        <v>5000</v>
      </c>
      <c r="L231" s="12">
        <v>117700</v>
      </c>
      <c r="M231" s="20">
        <f t="shared" si="52"/>
        <v>258300</v>
      </c>
      <c r="N231" s="13">
        <f t="shared" si="51"/>
        <v>245800</v>
      </c>
      <c r="O231" s="12">
        <v>245800</v>
      </c>
      <c r="P231" s="10">
        <f t="shared" si="53"/>
        <v>0</v>
      </c>
    </row>
    <row r="232" spans="1:16" s="14" customFormat="1" ht="15.75" customHeight="1" x14ac:dyDescent="0.25">
      <c r="A232" s="17">
        <v>46163</v>
      </c>
      <c r="B232" s="17" t="s">
        <v>4</v>
      </c>
      <c r="C232" s="18">
        <v>723</v>
      </c>
      <c r="D232" s="12">
        <v>510200</v>
      </c>
      <c r="E232" s="12">
        <v>79700</v>
      </c>
      <c r="F232" s="12">
        <v>27000</v>
      </c>
      <c r="G232" s="12">
        <v>0</v>
      </c>
      <c r="H232" s="19">
        <f t="shared" si="45"/>
        <v>106700</v>
      </c>
      <c r="I232" s="9">
        <f t="shared" si="50"/>
        <v>616900</v>
      </c>
      <c r="J232" s="12">
        <v>0</v>
      </c>
      <c r="K232" s="12">
        <v>4000</v>
      </c>
      <c r="L232" s="12">
        <v>0</v>
      </c>
      <c r="M232" s="20">
        <f t="shared" si="52"/>
        <v>106700</v>
      </c>
      <c r="N232" s="13">
        <f t="shared" si="51"/>
        <v>506200</v>
      </c>
      <c r="O232" s="12">
        <v>506200</v>
      </c>
      <c r="P232" s="10">
        <f t="shared" si="53"/>
        <v>0</v>
      </c>
    </row>
    <row r="233" spans="1:16" s="14" customFormat="1" ht="15.75" customHeight="1" x14ac:dyDescent="0.25">
      <c r="A233" s="17">
        <v>46164</v>
      </c>
      <c r="B233" s="17" t="s">
        <v>5</v>
      </c>
      <c r="C233" s="18">
        <v>724</v>
      </c>
      <c r="D233" s="12">
        <v>317400</v>
      </c>
      <c r="E233" s="12">
        <v>158200</v>
      </c>
      <c r="F233" s="12">
        <v>48500</v>
      </c>
      <c r="G233" s="12">
        <v>80100</v>
      </c>
      <c r="H233" s="19">
        <f t="shared" si="45"/>
        <v>286800</v>
      </c>
      <c r="I233" s="9">
        <f t="shared" si="50"/>
        <v>604200</v>
      </c>
      <c r="J233" s="12">
        <v>0</v>
      </c>
      <c r="K233" s="12">
        <v>2000</v>
      </c>
      <c r="L233" s="12">
        <f>17000+111500</f>
        <v>128500</v>
      </c>
      <c r="M233" s="20">
        <f t="shared" si="52"/>
        <v>286800</v>
      </c>
      <c r="N233" s="13">
        <f t="shared" si="51"/>
        <v>315400</v>
      </c>
      <c r="O233" s="12">
        <v>315400</v>
      </c>
      <c r="P233" s="10">
        <f t="shared" si="53"/>
        <v>0</v>
      </c>
    </row>
    <row r="234" spans="1:16" s="14" customFormat="1" ht="15.75" customHeight="1" x14ac:dyDescent="0.25">
      <c r="A234" s="17">
        <v>46164</v>
      </c>
      <c r="B234" s="17" t="s">
        <v>4</v>
      </c>
      <c r="C234" s="18">
        <v>725</v>
      </c>
      <c r="D234" s="12">
        <v>341230</v>
      </c>
      <c r="E234" s="12">
        <v>87000</v>
      </c>
      <c r="F234" s="12">
        <v>9000</v>
      </c>
      <c r="G234" s="12">
        <v>0</v>
      </c>
      <c r="H234" s="19">
        <f t="shared" si="45"/>
        <v>96000</v>
      </c>
      <c r="I234" s="9">
        <f t="shared" si="50"/>
        <v>437230</v>
      </c>
      <c r="J234" s="12">
        <v>0</v>
      </c>
      <c r="K234" s="12">
        <v>0</v>
      </c>
      <c r="L234" s="12">
        <v>0</v>
      </c>
      <c r="M234" s="20">
        <f t="shared" si="52"/>
        <v>96000</v>
      </c>
      <c r="N234" s="13">
        <f t="shared" si="51"/>
        <v>341230</v>
      </c>
      <c r="O234" s="12">
        <v>341400</v>
      </c>
      <c r="P234" s="10">
        <f t="shared" si="53"/>
        <v>170</v>
      </c>
    </row>
    <row r="235" spans="1:16" s="14" customFormat="1" ht="15.75" customHeight="1" x14ac:dyDescent="0.25">
      <c r="A235" s="17">
        <v>46165</v>
      </c>
      <c r="B235" s="17" t="s">
        <v>5</v>
      </c>
      <c r="C235" s="18">
        <v>726</v>
      </c>
      <c r="D235" s="12">
        <v>741800</v>
      </c>
      <c r="E235" s="12">
        <v>379000</v>
      </c>
      <c r="F235" s="12">
        <v>0</v>
      </c>
      <c r="G235" s="12">
        <v>196000</v>
      </c>
      <c r="H235" s="19">
        <f t="shared" si="45"/>
        <v>575000</v>
      </c>
      <c r="I235" s="9">
        <f t="shared" si="50"/>
        <v>1316800</v>
      </c>
      <c r="J235" s="12">
        <v>0</v>
      </c>
      <c r="K235" s="12">
        <v>0</v>
      </c>
      <c r="L235" s="12">
        <v>69000</v>
      </c>
      <c r="M235" s="20">
        <f t="shared" si="52"/>
        <v>575000</v>
      </c>
      <c r="N235" s="13">
        <f t="shared" si="51"/>
        <v>741800</v>
      </c>
      <c r="O235" s="12">
        <v>741900</v>
      </c>
      <c r="P235" s="10">
        <f t="shared" si="53"/>
        <v>100</v>
      </c>
    </row>
    <row r="236" spans="1:16" s="14" customFormat="1" ht="15.75" customHeight="1" x14ac:dyDescent="0.25">
      <c r="A236" s="17">
        <v>46166</v>
      </c>
      <c r="B236" s="17" t="s">
        <v>4</v>
      </c>
      <c r="C236" s="18">
        <v>727</v>
      </c>
      <c r="D236" s="12">
        <v>367700</v>
      </c>
      <c r="E236" s="12">
        <v>190700</v>
      </c>
      <c r="F236" s="12">
        <v>121500</v>
      </c>
      <c r="G236" s="12">
        <v>92500</v>
      </c>
      <c r="H236" s="19">
        <f t="shared" si="45"/>
        <v>404700</v>
      </c>
      <c r="I236" s="9">
        <f t="shared" si="50"/>
        <v>772400</v>
      </c>
      <c r="J236" s="12">
        <v>0</v>
      </c>
      <c r="K236" s="12">
        <v>0</v>
      </c>
      <c r="L236" s="12">
        <v>0</v>
      </c>
      <c r="M236" s="20">
        <f t="shared" si="52"/>
        <v>404700</v>
      </c>
      <c r="N236" s="13">
        <f t="shared" si="51"/>
        <v>367700</v>
      </c>
      <c r="O236" s="12">
        <v>367900</v>
      </c>
      <c r="P236" s="10">
        <f t="shared" si="53"/>
        <v>200</v>
      </c>
    </row>
    <row r="237" spans="1:16" s="14" customFormat="1" ht="15.75" customHeight="1" x14ac:dyDescent="0.25">
      <c r="A237" s="17">
        <v>46167</v>
      </c>
      <c r="B237" s="17" t="s">
        <v>4</v>
      </c>
      <c r="C237" s="18">
        <v>728</v>
      </c>
      <c r="D237" s="12">
        <v>191000</v>
      </c>
      <c r="E237" s="12">
        <v>36000</v>
      </c>
      <c r="F237" s="12">
        <v>242500</v>
      </c>
      <c r="G237" s="12">
        <v>411500</v>
      </c>
      <c r="H237" s="19">
        <f t="shared" si="45"/>
        <v>690000</v>
      </c>
      <c r="I237" s="9">
        <f t="shared" si="50"/>
        <v>881000</v>
      </c>
      <c r="J237" s="12">
        <v>0</v>
      </c>
      <c r="K237" s="12">
        <v>18000</v>
      </c>
      <c r="L237" s="12">
        <v>137000</v>
      </c>
      <c r="M237" s="20">
        <f t="shared" si="52"/>
        <v>690000</v>
      </c>
      <c r="N237" s="13">
        <f t="shared" si="51"/>
        <v>173000</v>
      </c>
      <c r="O237" s="12">
        <v>173100</v>
      </c>
      <c r="P237" s="10">
        <f t="shared" si="53"/>
        <v>100</v>
      </c>
    </row>
    <row r="238" spans="1:16" s="14" customFormat="1" ht="15.75" customHeight="1" x14ac:dyDescent="0.25">
      <c r="A238" s="17">
        <v>46167</v>
      </c>
      <c r="B238" s="17" t="s">
        <v>5</v>
      </c>
      <c r="C238" s="18">
        <v>729</v>
      </c>
      <c r="D238" s="12">
        <v>312300</v>
      </c>
      <c r="E238" s="12">
        <v>165500</v>
      </c>
      <c r="F238" s="12">
        <v>180400</v>
      </c>
      <c r="G238" s="12">
        <v>149700</v>
      </c>
      <c r="H238" s="19">
        <f t="shared" si="45"/>
        <v>495600</v>
      </c>
      <c r="I238" s="9">
        <f t="shared" si="50"/>
        <v>807900</v>
      </c>
      <c r="J238" s="12">
        <f>1242891+1095650</f>
        <v>2338541</v>
      </c>
      <c r="K238" s="12">
        <v>0</v>
      </c>
      <c r="L238" s="12">
        <v>35000</v>
      </c>
      <c r="M238" s="20">
        <f t="shared" si="52"/>
        <v>-1842941</v>
      </c>
      <c r="N238" s="13">
        <f t="shared" si="51"/>
        <v>312300</v>
      </c>
      <c r="O238" s="12">
        <v>312300</v>
      </c>
      <c r="P238" s="10">
        <f t="shared" si="53"/>
        <v>0</v>
      </c>
    </row>
    <row r="239" spans="1:16" s="14" customFormat="1" ht="15.75" customHeight="1" x14ac:dyDescent="0.25">
      <c r="A239" s="17">
        <v>46168</v>
      </c>
      <c r="B239" s="17" t="s">
        <v>4</v>
      </c>
      <c r="C239" s="18">
        <v>730</v>
      </c>
      <c r="D239" s="12">
        <v>109900</v>
      </c>
      <c r="E239" s="12">
        <v>100900</v>
      </c>
      <c r="F239" s="12">
        <v>16400</v>
      </c>
      <c r="G239" s="12">
        <v>130200</v>
      </c>
      <c r="H239" s="19">
        <f t="shared" si="45"/>
        <v>247500</v>
      </c>
      <c r="I239" s="9">
        <f t="shared" si="50"/>
        <v>357400</v>
      </c>
      <c r="J239" s="12">
        <v>0</v>
      </c>
      <c r="K239" s="12">
        <v>0</v>
      </c>
      <c r="L239" s="12">
        <f>1069881+1109600+120000</f>
        <v>2299481</v>
      </c>
      <c r="M239" s="20">
        <f t="shared" si="52"/>
        <v>247500</v>
      </c>
      <c r="N239" s="13">
        <f t="shared" si="51"/>
        <v>109900</v>
      </c>
      <c r="O239" s="12">
        <v>109900</v>
      </c>
      <c r="P239" s="10">
        <f t="shared" si="53"/>
        <v>0</v>
      </c>
    </row>
    <row r="240" spans="1:16" s="14" customFormat="1" ht="15.75" customHeight="1" x14ac:dyDescent="0.25">
      <c r="A240" s="17">
        <v>46168</v>
      </c>
      <c r="B240" s="17" t="s">
        <v>5</v>
      </c>
      <c r="C240" s="18">
        <v>731</v>
      </c>
      <c r="D240" s="12">
        <v>398700</v>
      </c>
      <c r="E240" s="12">
        <v>140500</v>
      </c>
      <c r="F240" s="12">
        <v>45000</v>
      </c>
      <c r="G240" s="12">
        <v>60000</v>
      </c>
      <c r="H240" s="19">
        <f t="shared" si="45"/>
        <v>245500</v>
      </c>
      <c r="I240" s="9">
        <f t="shared" si="50"/>
        <v>644200</v>
      </c>
      <c r="J240" s="12">
        <v>0</v>
      </c>
      <c r="K240" s="12">
        <v>12000</v>
      </c>
      <c r="L240" s="12">
        <v>0</v>
      </c>
      <c r="M240" s="20">
        <f t="shared" si="52"/>
        <v>245500</v>
      </c>
      <c r="N240" s="13">
        <f t="shared" si="51"/>
        <v>386700</v>
      </c>
      <c r="O240" s="12">
        <v>386700</v>
      </c>
      <c r="P240" s="10">
        <f t="shared" si="53"/>
        <v>0</v>
      </c>
    </row>
    <row r="241" spans="1:16" s="14" customFormat="1" ht="15.75" customHeight="1" x14ac:dyDescent="0.25">
      <c r="A241" s="17">
        <v>46169</v>
      </c>
      <c r="B241" s="17" t="s">
        <v>4</v>
      </c>
      <c r="C241" s="18">
        <v>732</v>
      </c>
      <c r="D241" s="12">
        <v>722100</v>
      </c>
      <c r="E241" s="12">
        <v>142000</v>
      </c>
      <c r="F241" s="12">
        <v>23000</v>
      </c>
      <c r="G241" s="12">
        <v>144600</v>
      </c>
      <c r="H241" s="19">
        <f t="shared" si="45"/>
        <v>309600</v>
      </c>
      <c r="I241" s="9">
        <f t="shared" si="50"/>
        <v>1031700</v>
      </c>
      <c r="J241" s="12">
        <v>0</v>
      </c>
      <c r="K241" s="12">
        <v>2000</v>
      </c>
      <c r="L241" s="12">
        <v>100000</v>
      </c>
      <c r="M241" s="20">
        <f t="shared" si="52"/>
        <v>309600</v>
      </c>
      <c r="N241" s="13">
        <f t="shared" si="51"/>
        <v>720100</v>
      </c>
      <c r="O241" s="12">
        <v>720100</v>
      </c>
      <c r="P241" s="10">
        <f t="shared" si="53"/>
        <v>0</v>
      </c>
    </row>
    <row r="242" spans="1:16" s="14" customFormat="1" ht="15.75" customHeight="1" x14ac:dyDescent="0.25">
      <c r="A242" s="17">
        <v>46170</v>
      </c>
      <c r="B242" s="17" t="s">
        <v>4</v>
      </c>
      <c r="C242" s="18">
        <v>733</v>
      </c>
      <c r="D242" s="12">
        <v>156100</v>
      </c>
      <c r="E242" s="12">
        <v>173000</v>
      </c>
      <c r="F242" s="12">
        <v>213500</v>
      </c>
      <c r="G242" s="12">
        <v>0</v>
      </c>
      <c r="H242" s="19">
        <f t="shared" si="45"/>
        <v>386500</v>
      </c>
      <c r="I242" s="9">
        <f t="shared" si="50"/>
        <v>542600</v>
      </c>
      <c r="J242" s="12">
        <v>0</v>
      </c>
      <c r="K242" s="12">
        <v>2000</v>
      </c>
      <c r="L242" s="12">
        <v>20000</v>
      </c>
      <c r="M242" s="20">
        <f t="shared" si="52"/>
        <v>386500</v>
      </c>
      <c r="N242" s="13">
        <f t="shared" si="51"/>
        <v>154100</v>
      </c>
      <c r="O242" s="12">
        <v>154100</v>
      </c>
      <c r="P242" s="10">
        <f t="shared" si="53"/>
        <v>0</v>
      </c>
    </row>
    <row r="243" spans="1:16" s="14" customFormat="1" ht="15.75" customHeight="1" x14ac:dyDescent="0.25">
      <c r="A243" s="17">
        <v>46140</v>
      </c>
      <c r="B243" s="17" t="s">
        <v>5</v>
      </c>
      <c r="C243" s="18">
        <v>734</v>
      </c>
      <c r="D243" s="12">
        <v>471900</v>
      </c>
      <c r="E243" s="12">
        <v>190700</v>
      </c>
      <c r="F243" s="12">
        <v>44500</v>
      </c>
      <c r="G243" s="12">
        <v>29100</v>
      </c>
      <c r="H243" s="19">
        <f t="shared" si="45"/>
        <v>264300</v>
      </c>
      <c r="I243" s="9">
        <f t="shared" si="50"/>
        <v>736200</v>
      </c>
      <c r="J243" s="12">
        <v>0</v>
      </c>
      <c r="K243" s="12">
        <v>0</v>
      </c>
      <c r="L243" s="12">
        <v>0</v>
      </c>
      <c r="M243" s="20">
        <f t="shared" si="52"/>
        <v>264300</v>
      </c>
      <c r="N243" s="13">
        <f t="shared" si="51"/>
        <v>471900</v>
      </c>
      <c r="O243" s="12">
        <v>471900</v>
      </c>
      <c r="P243" s="10">
        <f t="shared" si="53"/>
        <v>0</v>
      </c>
    </row>
    <row r="244" spans="1:16" s="14" customFormat="1" ht="15.75" customHeight="1" x14ac:dyDescent="0.25">
      <c r="A244" s="17">
        <v>46141</v>
      </c>
      <c r="B244" s="17" t="s">
        <v>229</v>
      </c>
      <c r="C244" s="18">
        <v>735</v>
      </c>
      <c r="D244" s="12">
        <v>72000</v>
      </c>
      <c r="E244" s="12">
        <v>137000</v>
      </c>
      <c r="F244" s="12">
        <v>0</v>
      </c>
      <c r="G244" s="12">
        <v>263000</v>
      </c>
      <c r="H244" s="19">
        <f t="shared" si="45"/>
        <v>400000</v>
      </c>
      <c r="I244" s="9">
        <f t="shared" si="50"/>
        <v>472000</v>
      </c>
      <c r="J244" s="12">
        <v>0</v>
      </c>
      <c r="K244" s="12">
        <v>12000</v>
      </c>
      <c r="L244" s="12">
        <v>0</v>
      </c>
      <c r="M244" s="20">
        <f t="shared" si="52"/>
        <v>400000</v>
      </c>
      <c r="N244" s="13">
        <f t="shared" si="51"/>
        <v>60000</v>
      </c>
      <c r="O244" s="12">
        <v>60100</v>
      </c>
      <c r="P244" s="10">
        <f t="shared" si="53"/>
        <v>100</v>
      </c>
    </row>
    <row r="245" spans="1:16" s="14" customFormat="1" ht="15.75" customHeight="1" x14ac:dyDescent="0.25">
      <c r="A245" s="17">
        <v>46171</v>
      </c>
      <c r="B245" s="17" t="s">
        <v>5</v>
      </c>
      <c r="C245" s="18">
        <v>736</v>
      </c>
      <c r="D245" s="12">
        <v>273300</v>
      </c>
      <c r="E245" s="12">
        <v>55000</v>
      </c>
      <c r="F245" s="12">
        <v>0</v>
      </c>
      <c r="G245" s="12">
        <v>67500</v>
      </c>
      <c r="H245" s="19">
        <f t="shared" si="45"/>
        <v>122500</v>
      </c>
      <c r="I245" s="9">
        <f t="shared" si="50"/>
        <v>395800</v>
      </c>
      <c r="J245" s="12">
        <v>0</v>
      </c>
      <c r="K245" s="12">
        <v>0</v>
      </c>
      <c r="L245" s="12">
        <f>2425100+183500</f>
        <v>2608600</v>
      </c>
      <c r="M245" s="20">
        <f t="shared" si="52"/>
        <v>122500</v>
      </c>
      <c r="N245" s="13">
        <f t="shared" si="51"/>
        <v>273300</v>
      </c>
      <c r="O245" s="12">
        <v>273300</v>
      </c>
      <c r="P245" s="10">
        <f t="shared" si="53"/>
        <v>0</v>
      </c>
    </row>
    <row r="246" spans="1:16" s="14" customFormat="1" ht="15.75" customHeight="1" x14ac:dyDescent="0.25">
      <c r="A246" s="17">
        <v>46172</v>
      </c>
      <c r="B246" s="17" t="s">
        <v>4</v>
      </c>
      <c r="C246" s="18">
        <v>737</v>
      </c>
      <c r="D246" s="12">
        <v>569900</v>
      </c>
      <c r="E246" s="12">
        <v>355900</v>
      </c>
      <c r="F246" s="12">
        <v>77500</v>
      </c>
      <c r="G246" s="12">
        <v>87000</v>
      </c>
      <c r="H246" s="19">
        <f t="shared" si="45"/>
        <v>520400</v>
      </c>
      <c r="I246" s="9">
        <f t="shared" si="50"/>
        <v>1090300</v>
      </c>
      <c r="J246" s="12">
        <v>3000000</v>
      </c>
      <c r="K246" s="12">
        <v>0</v>
      </c>
      <c r="L246" s="12">
        <f>150000+150000+50000+50000+30000</f>
        <v>430000</v>
      </c>
      <c r="M246" s="20">
        <f t="shared" si="52"/>
        <v>-2479600</v>
      </c>
      <c r="N246" s="13">
        <f t="shared" si="51"/>
        <v>569900</v>
      </c>
      <c r="O246" s="12">
        <v>569900</v>
      </c>
      <c r="P246" s="10">
        <f t="shared" si="53"/>
        <v>0</v>
      </c>
    </row>
    <row r="247" spans="1:16" s="14" customFormat="1" ht="15.75" customHeight="1" x14ac:dyDescent="0.25">
      <c r="A247" s="17">
        <v>46173</v>
      </c>
      <c r="B247" s="17" t="s">
        <v>5</v>
      </c>
      <c r="C247" s="18">
        <v>738</v>
      </c>
      <c r="D247" s="12">
        <v>226000</v>
      </c>
      <c r="E247" s="12">
        <v>22000</v>
      </c>
      <c r="F247" s="12">
        <v>102500</v>
      </c>
      <c r="G247" s="12">
        <v>18000</v>
      </c>
      <c r="H247" s="19">
        <f>E247+F247+G247</f>
        <v>142500</v>
      </c>
      <c r="I247" s="9">
        <f t="shared" si="50"/>
        <v>368500</v>
      </c>
      <c r="J247" s="12">
        <v>0</v>
      </c>
      <c r="K247" s="12">
        <v>0</v>
      </c>
      <c r="L247" s="12">
        <v>0</v>
      </c>
      <c r="M247" s="20">
        <f t="shared" si="52"/>
        <v>142500</v>
      </c>
      <c r="N247" s="13">
        <f t="shared" si="51"/>
        <v>226000</v>
      </c>
      <c r="O247" s="12">
        <v>226000</v>
      </c>
      <c r="P247" s="10">
        <f t="shared" si="53"/>
        <v>0</v>
      </c>
    </row>
    <row r="248" spans="1:16" s="14" customFormat="1" ht="15.75" customHeight="1" x14ac:dyDescent="0.25">
      <c r="A248" s="17">
        <v>46174</v>
      </c>
      <c r="B248" s="17" t="s">
        <v>5</v>
      </c>
      <c r="C248" s="18">
        <v>739</v>
      </c>
      <c r="D248" s="12">
        <v>367100</v>
      </c>
      <c r="E248" s="12">
        <v>94800</v>
      </c>
      <c r="F248" s="12">
        <v>18000</v>
      </c>
      <c r="G248" s="12">
        <v>166200</v>
      </c>
      <c r="H248" s="19">
        <f t="shared" si="45"/>
        <v>279000</v>
      </c>
      <c r="I248" s="9">
        <f t="shared" si="50"/>
        <v>646100</v>
      </c>
      <c r="J248" s="12">
        <v>0</v>
      </c>
      <c r="K248" s="12">
        <v>0</v>
      </c>
      <c r="L248" s="12">
        <f>657600+75000</f>
        <v>732600</v>
      </c>
      <c r="M248" s="20">
        <f t="shared" si="52"/>
        <v>279000</v>
      </c>
      <c r="N248" s="13">
        <f t="shared" si="51"/>
        <v>367100</v>
      </c>
      <c r="O248" s="12">
        <v>367200</v>
      </c>
      <c r="P248" s="10">
        <f t="shared" si="53"/>
        <v>100</v>
      </c>
    </row>
    <row r="249" spans="1:16" s="14" customFormat="1" ht="15.75" customHeight="1" x14ac:dyDescent="0.25">
      <c r="A249" s="17">
        <v>46174</v>
      </c>
      <c r="B249" s="17" t="s">
        <v>4</v>
      </c>
      <c r="C249" s="18">
        <v>740</v>
      </c>
      <c r="D249" s="12">
        <v>331400</v>
      </c>
      <c r="E249" s="12">
        <v>138500</v>
      </c>
      <c r="F249" s="12">
        <v>0</v>
      </c>
      <c r="G249" s="12">
        <v>145000</v>
      </c>
      <c r="H249" s="19">
        <f t="shared" si="45"/>
        <v>283500</v>
      </c>
      <c r="I249" s="9">
        <f t="shared" si="50"/>
        <v>614900</v>
      </c>
      <c r="J249" s="12">
        <v>0</v>
      </c>
      <c r="K249" s="12">
        <v>5000</v>
      </c>
      <c r="L249" s="12">
        <v>0</v>
      </c>
      <c r="M249" s="20">
        <f t="shared" si="52"/>
        <v>283500</v>
      </c>
      <c r="N249" s="13">
        <f t="shared" si="51"/>
        <v>326400</v>
      </c>
      <c r="O249" s="12">
        <v>326400</v>
      </c>
      <c r="P249" s="10">
        <f t="shared" si="53"/>
        <v>0</v>
      </c>
    </row>
    <row r="250" spans="1:16" s="14" customFormat="1" ht="15.75" customHeight="1" x14ac:dyDescent="0.25">
      <c r="A250" s="17">
        <v>46174</v>
      </c>
      <c r="B250" s="17" t="s">
        <v>4</v>
      </c>
      <c r="C250" s="18">
        <v>741</v>
      </c>
      <c r="D250" s="12">
        <v>52000</v>
      </c>
      <c r="E250" s="12">
        <v>0</v>
      </c>
      <c r="F250" s="12">
        <v>0</v>
      </c>
      <c r="G250" s="12">
        <v>70000</v>
      </c>
      <c r="H250" s="19">
        <f t="shared" si="45"/>
        <v>70000</v>
      </c>
      <c r="I250" s="9">
        <f t="shared" si="50"/>
        <v>122000</v>
      </c>
      <c r="J250" s="12">
        <v>0</v>
      </c>
      <c r="K250" s="12">
        <v>0</v>
      </c>
      <c r="L250" s="12">
        <v>0</v>
      </c>
      <c r="M250" s="20">
        <f t="shared" si="52"/>
        <v>70000</v>
      </c>
      <c r="N250" s="13">
        <f t="shared" si="51"/>
        <v>52000</v>
      </c>
      <c r="O250" s="12">
        <v>52000</v>
      </c>
      <c r="P250" s="10">
        <f t="shared" si="53"/>
        <v>0</v>
      </c>
    </row>
    <row r="251" spans="1:16" s="14" customFormat="1" ht="15.75" customHeight="1" x14ac:dyDescent="0.25">
      <c r="A251" s="17">
        <v>46175</v>
      </c>
      <c r="B251" s="17" t="s">
        <v>5</v>
      </c>
      <c r="C251" s="18">
        <v>742</v>
      </c>
      <c r="D251" s="12">
        <v>254100</v>
      </c>
      <c r="E251" s="12">
        <v>193500</v>
      </c>
      <c r="F251" s="12">
        <v>17000</v>
      </c>
      <c r="G251" s="12">
        <v>132500</v>
      </c>
      <c r="H251" s="19">
        <f t="shared" si="45"/>
        <v>343000</v>
      </c>
      <c r="I251" s="9">
        <f t="shared" si="50"/>
        <v>597100</v>
      </c>
      <c r="J251" s="12">
        <v>0</v>
      </c>
      <c r="K251" s="12">
        <v>0</v>
      </c>
      <c r="L251" s="12">
        <v>50000</v>
      </c>
      <c r="M251" s="20">
        <f t="shared" si="52"/>
        <v>343000</v>
      </c>
      <c r="N251" s="13">
        <f t="shared" si="51"/>
        <v>254100</v>
      </c>
      <c r="O251" s="12">
        <v>254100</v>
      </c>
      <c r="P251" s="10">
        <f t="shared" si="53"/>
        <v>0</v>
      </c>
    </row>
    <row r="252" spans="1:16" s="14" customFormat="1" ht="15.75" customHeight="1" x14ac:dyDescent="0.25">
      <c r="A252" s="17">
        <v>46175</v>
      </c>
      <c r="B252" s="17" t="s">
        <v>4</v>
      </c>
      <c r="C252" s="18">
        <v>743</v>
      </c>
      <c r="D252" s="12">
        <v>414600</v>
      </c>
      <c r="E252" s="12">
        <v>308000</v>
      </c>
      <c r="F252" s="12">
        <v>0</v>
      </c>
      <c r="G252" s="12">
        <v>482000</v>
      </c>
      <c r="H252" s="19">
        <f t="shared" si="45"/>
        <v>790000</v>
      </c>
      <c r="I252" s="9">
        <f t="shared" si="50"/>
        <v>1204600</v>
      </c>
      <c r="J252" s="12">
        <v>0</v>
      </c>
      <c r="K252" s="12">
        <v>12000</v>
      </c>
      <c r="L252" s="12">
        <f>67000+190000</f>
        <v>257000</v>
      </c>
      <c r="M252" s="20">
        <f t="shared" si="52"/>
        <v>790000</v>
      </c>
      <c r="N252" s="13">
        <f t="shared" si="51"/>
        <v>402600</v>
      </c>
      <c r="O252" s="12">
        <v>402600</v>
      </c>
      <c r="P252" s="10">
        <f t="shared" si="53"/>
        <v>0</v>
      </c>
    </row>
    <row r="253" spans="1:16" s="14" customFormat="1" ht="15.75" customHeight="1" x14ac:dyDescent="0.25">
      <c r="A253" s="17">
        <v>46176</v>
      </c>
      <c r="B253" s="17" t="s">
        <v>5</v>
      </c>
      <c r="C253" s="18">
        <v>744</v>
      </c>
      <c r="D253" s="12">
        <v>198500</v>
      </c>
      <c r="E253" s="12">
        <v>18700</v>
      </c>
      <c r="F253" s="12">
        <v>0</v>
      </c>
      <c r="G253" s="12">
        <v>138500</v>
      </c>
      <c r="H253" s="19">
        <f t="shared" si="45"/>
        <v>157200</v>
      </c>
      <c r="I253" s="9">
        <f t="shared" si="50"/>
        <v>355700</v>
      </c>
      <c r="J253" s="12">
        <v>0</v>
      </c>
      <c r="K253" s="12">
        <v>0</v>
      </c>
      <c r="L253" s="12">
        <f>102000</f>
        <v>102000</v>
      </c>
      <c r="M253" s="20">
        <f t="shared" si="52"/>
        <v>157200</v>
      </c>
      <c r="N253" s="13">
        <f t="shared" si="51"/>
        <v>198500</v>
      </c>
      <c r="O253" s="12">
        <v>198500</v>
      </c>
      <c r="P253" s="10">
        <f t="shared" si="53"/>
        <v>0</v>
      </c>
    </row>
    <row r="254" spans="1:16" s="14" customFormat="1" ht="15.75" customHeight="1" x14ac:dyDescent="0.25">
      <c r="A254" s="17">
        <v>46176</v>
      </c>
      <c r="B254" s="17" t="s">
        <v>4</v>
      </c>
      <c r="C254" s="18">
        <v>745</v>
      </c>
      <c r="D254" s="12">
        <v>345544</v>
      </c>
      <c r="E254" s="12">
        <v>133000</v>
      </c>
      <c r="F254" s="12">
        <v>0</v>
      </c>
      <c r="G254" s="12">
        <v>85500</v>
      </c>
      <c r="H254" s="19">
        <f t="shared" si="45"/>
        <v>218500</v>
      </c>
      <c r="I254" s="9">
        <f t="shared" si="50"/>
        <v>564044</v>
      </c>
      <c r="J254" s="12">
        <v>0</v>
      </c>
      <c r="K254" s="12">
        <v>0</v>
      </c>
      <c r="L254" s="12">
        <f>39000+1138600</f>
        <v>1177600</v>
      </c>
      <c r="M254" s="20">
        <f t="shared" si="52"/>
        <v>218500</v>
      </c>
      <c r="N254" s="13">
        <f t="shared" si="51"/>
        <v>345544</v>
      </c>
      <c r="O254" s="12">
        <v>345800</v>
      </c>
      <c r="P254" s="10">
        <f t="shared" si="53"/>
        <v>256</v>
      </c>
    </row>
    <row r="255" spans="1:16" s="14" customFormat="1" ht="15.75" customHeight="1" x14ac:dyDescent="0.25">
      <c r="A255" s="17">
        <v>46177</v>
      </c>
      <c r="B255" s="17" t="s">
        <v>5</v>
      </c>
      <c r="C255" s="18">
        <v>746</v>
      </c>
      <c r="D255" s="12">
        <v>351700</v>
      </c>
      <c r="E255" s="12">
        <v>115500</v>
      </c>
      <c r="F255" s="12">
        <v>0</v>
      </c>
      <c r="G255" s="12">
        <v>21500</v>
      </c>
      <c r="H255" s="19">
        <f t="shared" si="45"/>
        <v>137000</v>
      </c>
      <c r="I255" s="9">
        <f t="shared" si="50"/>
        <v>488700</v>
      </c>
      <c r="J255" s="12">
        <v>0</v>
      </c>
      <c r="K255" s="12">
        <v>0</v>
      </c>
      <c r="L255" s="12">
        <v>0</v>
      </c>
      <c r="M255" s="20">
        <f t="shared" si="52"/>
        <v>137000</v>
      </c>
      <c r="N255" s="13">
        <f t="shared" si="51"/>
        <v>351700</v>
      </c>
      <c r="O255" s="12">
        <v>351700</v>
      </c>
      <c r="P255" s="10">
        <f t="shared" si="53"/>
        <v>0</v>
      </c>
    </row>
    <row r="256" spans="1:16" s="14" customFormat="1" ht="15.75" customHeight="1" x14ac:dyDescent="0.25">
      <c r="A256" s="17">
        <v>46177</v>
      </c>
      <c r="B256" s="17" t="s">
        <v>4</v>
      </c>
      <c r="C256" s="18">
        <v>747</v>
      </c>
      <c r="D256" s="12">
        <v>275800</v>
      </c>
      <c r="E256" s="12">
        <v>146500</v>
      </c>
      <c r="F256" s="12">
        <v>141500</v>
      </c>
      <c r="G256" s="12">
        <v>66500</v>
      </c>
      <c r="H256" s="19">
        <f t="shared" si="45"/>
        <v>354500</v>
      </c>
      <c r="I256" s="9">
        <f t="shared" si="50"/>
        <v>630300</v>
      </c>
      <c r="J256" s="12">
        <v>0</v>
      </c>
      <c r="K256" s="12">
        <v>0</v>
      </c>
      <c r="L256" s="12">
        <v>0</v>
      </c>
      <c r="M256" s="20">
        <f t="shared" si="52"/>
        <v>354500</v>
      </c>
      <c r="N256" s="13">
        <f t="shared" si="51"/>
        <v>275800</v>
      </c>
      <c r="O256" s="12">
        <v>275800</v>
      </c>
      <c r="P256" s="10">
        <f t="shared" si="53"/>
        <v>0</v>
      </c>
    </row>
    <row r="257" spans="1:16" s="14" customFormat="1" ht="15.75" customHeight="1" x14ac:dyDescent="0.25">
      <c r="A257" s="17">
        <v>46178</v>
      </c>
      <c r="B257" s="17" t="s">
        <v>5</v>
      </c>
      <c r="C257" s="18">
        <v>748</v>
      </c>
      <c r="D257" s="12">
        <v>237700</v>
      </c>
      <c r="E257" s="12">
        <v>89700</v>
      </c>
      <c r="F257" s="12">
        <v>0</v>
      </c>
      <c r="G257" s="12">
        <v>115500</v>
      </c>
      <c r="H257" s="19">
        <f t="shared" si="45"/>
        <v>205200</v>
      </c>
      <c r="I257" s="9">
        <f t="shared" si="50"/>
        <v>442900</v>
      </c>
      <c r="J257" s="12">
        <v>0</v>
      </c>
      <c r="K257" s="12">
        <v>0</v>
      </c>
      <c r="L257" s="12">
        <v>0</v>
      </c>
      <c r="M257" s="20">
        <f t="shared" si="52"/>
        <v>205200</v>
      </c>
      <c r="N257" s="13">
        <f t="shared" si="51"/>
        <v>237700</v>
      </c>
      <c r="O257" s="12">
        <v>237700</v>
      </c>
      <c r="P257" s="10">
        <f t="shared" si="53"/>
        <v>0</v>
      </c>
    </row>
    <row r="258" spans="1:16" s="14" customFormat="1" ht="15.75" customHeight="1" x14ac:dyDescent="0.25">
      <c r="A258" s="17">
        <v>46178</v>
      </c>
      <c r="B258" s="17" t="s">
        <v>4</v>
      </c>
      <c r="C258" s="18">
        <v>749</v>
      </c>
      <c r="D258" s="12">
        <v>293300</v>
      </c>
      <c r="E258" s="12">
        <v>171700</v>
      </c>
      <c r="F258" s="12">
        <v>68200</v>
      </c>
      <c r="G258" s="12">
        <v>30700</v>
      </c>
      <c r="H258" s="19">
        <f t="shared" si="45"/>
        <v>270600</v>
      </c>
      <c r="I258" s="9">
        <f t="shared" si="50"/>
        <v>563900</v>
      </c>
      <c r="J258" s="12">
        <f>3000000+811224</f>
        <v>3811224</v>
      </c>
      <c r="K258" s="12">
        <v>0</v>
      </c>
      <c r="L258" s="12">
        <f>91700+1226300+198600</f>
        <v>1516600</v>
      </c>
      <c r="M258" s="20">
        <f t="shared" si="52"/>
        <v>-3540624</v>
      </c>
      <c r="N258" s="13">
        <f t="shared" si="51"/>
        <v>293300</v>
      </c>
      <c r="O258" s="12">
        <v>293300</v>
      </c>
      <c r="P258" s="10">
        <f t="shared" si="53"/>
        <v>0</v>
      </c>
    </row>
    <row r="259" spans="1:16" s="14" customFormat="1" ht="15.75" customHeight="1" x14ac:dyDescent="0.25">
      <c r="A259" s="17">
        <v>46179</v>
      </c>
      <c r="B259" s="17" t="s">
        <v>5</v>
      </c>
      <c r="C259" s="18">
        <v>750</v>
      </c>
      <c r="D259" s="12">
        <v>812000</v>
      </c>
      <c r="E259" s="12">
        <v>381800</v>
      </c>
      <c r="F259" s="12">
        <v>18000</v>
      </c>
      <c r="G259" s="12">
        <v>394000</v>
      </c>
      <c r="H259" s="19">
        <f t="shared" si="45"/>
        <v>793800</v>
      </c>
      <c r="I259" s="9">
        <f t="shared" si="50"/>
        <v>1605800</v>
      </c>
      <c r="J259" s="12">
        <v>0</v>
      </c>
      <c r="K259" s="12">
        <v>0</v>
      </c>
      <c r="L259" s="12">
        <v>69800</v>
      </c>
      <c r="M259" s="20">
        <f t="shared" si="52"/>
        <v>793800</v>
      </c>
      <c r="N259" s="13">
        <f t="shared" si="51"/>
        <v>812000</v>
      </c>
      <c r="O259" s="12">
        <v>812000</v>
      </c>
      <c r="P259" s="10">
        <f t="shared" si="53"/>
        <v>0</v>
      </c>
    </row>
    <row r="260" spans="1:16" s="14" customFormat="1" ht="15.75" customHeight="1" x14ac:dyDescent="0.25">
      <c r="A260" s="17">
        <v>46180</v>
      </c>
      <c r="B260" s="17" t="s">
        <v>4</v>
      </c>
      <c r="C260" s="18">
        <v>751</v>
      </c>
      <c r="D260" s="12">
        <v>491800</v>
      </c>
      <c r="E260" s="12">
        <v>156700</v>
      </c>
      <c r="F260" s="12">
        <v>0</v>
      </c>
      <c r="G260" s="12">
        <v>177500</v>
      </c>
      <c r="H260" s="19">
        <f t="shared" si="45"/>
        <v>334200</v>
      </c>
      <c r="I260" s="9">
        <f t="shared" si="50"/>
        <v>826000</v>
      </c>
      <c r="J260" s="12">
        <v>0</v>
      </c>
      <c r="K260" s="12">
        <v>0</v>
      </c>
      <c r="L260" s="12">
        <v>10000</v>
      </c>
      <c r="M260" s="20">
        <f t="shared" si="52"/>
        <v>334200</v>
      </c>
      <c r="N260" s="13">
        <f t="shared" si="51"/>
        <v>491800</v>
      </c>
      <c r="O260" s="12">
        <v>491800</v>
      </c>
      <c r="P260" s="10">
        <f t="shared" si="53"/>
        <v>0</v>
      </c>
    </row>
    <row r="261" spans="1:16" s="14" customFormat="1" ht="15.75" customHeight="1" x14ac:dyDescent="0.25">
      <c r="A261" s="17">
        <v>46181</v>
      </c>
      <c r="B261" s="17" t="s">
        <v>4</v>
      </c>
      <c r="C261" s="18">
        <v>752</v>
      </c>
      <c r="D261" s="12">
        <v>69600</v>
      </c>
      <c r="E261" s="12">
        <v>125000</v>
      </c>
      <c r="F261" s="12">
        <v>0</v>
      </c>
      <c r="G261" s="12">
        <v>67500</v>
      </c>
      <c r="H261" s="19">
        <f t="shared" si="45"/>
        <v>192500</v>
      </c>
      <c r="I261" s="9">
        <f t="shared" si="50"/>
        <v>262100</v>
      </c>
      <c r="J261" s="12">
        <v>0</v>
      </c>
      <c r="K261" s="12">
        <v>0</v>
      </c>
      <c r="L261" s="12">
        <f>21000+34000+182200</f>
        <v>237200</v>
      </c>
      <c r="M261" s="20">
        <f t="shared" si="52"/>
        <v>192500</v>
      </c>
      <c r="N261" s="13">
        <f t="shared" si="51"/>
        <v>69600</v>
      </c>
      <c r="O261" s="12">
        <v>69600</v>
      </c>
      <c r="P261" s="10">
        <f t="shared" si="53"/>
        <v>0</v>
      </c>
    </row>
    <row r="262" spans="1:16" s="14" customFormat="1" ht="15.75" customHeight="1" x14ac:dyDescent="0.25">
      <c r="A262" s="17">
        <v>46181</v>
      </c>
      <c r="B262" s="17" t="s">
        <v>5</v>
      </c>
      <c r="C262" s="18">
        <v>753</v>
      </c>
      <c r="D262" s="12">
        <v>290500</v>
      </c>
      <c r="E262" s="12">
        <v>30000</v>
      </c>
      <c r="F262" s="12">
        <v>60000</v>
      </c>
      <c r="G262" s="12">
        <v>218000</v>
      </c>
      <c r="H262" s="19">
        <f t="shared" si="45"/>
        <v>308000</v>
      </c>
      <c r="I262" s="9">
        <f t="shared" si="50"/>
        <v>598500</v>
      </c>
      <c r="J262" s="12">
        <v>0</v>
      </c>
      <c r="K262" s="12">
        <v>0</v>
      </c>
      <c r="L262" s="12">
        <v>0</v>
      </c>
      <c r="M262" s="20">
        <f t="shared" si="52"/>
        <v>308000</v>
      </c>
      <c r="N262" s="13">
        <f t="shared" si="51"/>
        <v>290500</v>
      </c>
      <c r="O262" s="12">
        <v>290500</v>
      </c>
      <c r="P262" s="10">
        <f t="shared" si="53"/>
        <v>0</v>
      </c>
    </row>
    <row r="263" spans="1:16" s="14" customFormat="1" ht="15.75" customHeight="1" x14ac:dyDescent="0.25">
      <c r="A263" s="17">
        <v>46182</v>
      </c>
      <c r="B263" s="21" t="s">
        <v>4</v>
      </c>
      <c r="C263" s="18">
        <v>754</v>
      </c>
      <c r="D263" s="12">
        <f>210000-39400</f>
        <v>170600</v>
      </c>
      <c r="E263" s="12">
        <v>136200</v>
      </c>
      <c r="F263" s="12">
        <v>18400</v>
      </c>
      <c r="G263" s="12">
        <v>255500</v>
      </c>
      <c r="H263" s="19">
        <f t="shared" si="45"/>
        <v>410100</v>
      </c>
      <c r="I263" s="9">
        <f t="shared" si="50"/>
        <v>580700</v>
      </c>
      <c r="J263" s="12">
        <v>0</v>
      </c>
      <c r="K263" s="12">
        <v>4000</v>
      </c>
      <c r="L263" s="12">
        <v>67800</v>
      </c>
      <c r="M263" s="20">
        <f t="shared" si="52"/>
        <v>410100</v>
      </c>
      <c r="N263" s="13">
        <f t="shared" si="51"/>
        <v>166600</v>
      </c>
      <c r="O263" s="12">
        <v>166600</v>
      </c>
      <c r="P263" s="10">
        <f t="shared" si="53"/>
        <v>0</v>
      </c>
    </row>
    <row r="264" spans="1:16" s="14" customFormat="1" ht="15.75" customHeight="1" x14ac:dyDescent="0.25">
      <c r="A264" s="17">
        <v>46182</v>
      </c>
      <c r="B264" s="17" t="s">
        <v>5</v>
      </c>
      <c r="C264" s="18">
        <v>755</v>
      </c>
      <c r="D264" s="12">
        <v>502700</v>
      </c>
      <c r="E264" s="12">
        <v>44000</v>
      </c>
      <c r="F264" s="12">
        <v>11500</v>
      </c>
      <c r="G264" s="12">
        <v>111500</v>
      </c>
      <c r="H264" s="19">
        <f t="shared" si="45"/>
        <v>167000</v>
      </c>
      <c r="I264" s="9">
        <f t="shared" si="50"/>
        <v>669700</v>
      </c>
      <c r="J264" s="12">
        <v>100000</v>
      </c>
      <c r="K264" s="12">
        <v>0</v>
      </c>
      <c r="L264" s="12">
        <v>0</v>
      </c>
      <c r="M264" s="20">
        <f t="shared" si="52"/>
        <v>67000</v>
      </c>
      <c r="N264" s="13">
        <f t="shared" si="51"/>
        <v>502700</v>
      </c>
      <c r="O264" s="12">
        <v>502700</v>
      </c>
      <c r="P264" s="10">
        <f t="shared" si="53"/>
        <v>0</v>
      </c>
    </row>
    <row r="265" spans="1:16" s="14" customFormat="1" ht="15.75" customHeight="1" x14ac:dyDescent="0.25">
      <c r="A265" s="17">
        <v>46183</v>
      </c>
      <c r="B265" s="17" t="s">
        <v>4</v>
      </c>
      <c r="C265" s="18">
        <v>756</v>
      </c>
      <c r="D265" s="12">
        <v>179500</v>
      </c>
      <c r="E265" s="12">
        <v>78200</v>
      </c>
      <c r="F265" s="12">
        <v>18500</v>
      </c>
      <c r="G265" s="12">
        <v>45000</v>
      </c>
      <c r="H265" s="19">
        <f t="shared" si="45"/>
        <v>141700</v>
      </c>
      <c r="I265" s="9">
        <f t="shared" si="50"/>
        <v>321200</v>
      </c>
      <c r="J265" s="12">
        <v>0</v>
      </c>
      <c r="K265" s="12">
        <v>0</v>
      </c>
      <c r="L265" s="12">
        <v>110000</v>
      </c>
      <c r="M265" s="20">
        <f t="shared" si="52"/>
        <v>141700</v>
      </c>
      <c r="N265" s="13">
        <f t="shared" si="51"/>
        <v>179500</v>
      </c>
      <c r="O265" s="12">
        <v>179500</v>
      </c>
      <c r="P265" s="10">
        <f t="shared" si="53"/>
        <v>0</v>
      </c>
    </row>
    <row r="266" spans="1:16" s="14" customFormat="1" ht="15.75" customHeight="1" x14ac:dyDescent="0.25">
      <c r="A266" s="17" t="s">
        <v>259</v>
      </c>
      <c r="B266" s="17" t="s">
        <v>5</v>
      </c>
      <c r="C266" s="18">
        <v>757</v>
      </c>
      <c r="D266" s="12">
        <v>279800</v>
      </c>
      <c r="E266" s="12">
        <v>192800</v>
      </c>
      <c r="F266" s="12">
        <v>31000</v>
      </c>
      <c r="G266" s="12">
        <v>135000</v>
      </c>
      <c r="H266" s="19">
        <f t="shared" si="45"/>
        <v>358800</v>
      </c>
      <c r="I266" s="9">
        <f t="shared" si="50"/>
        <v>638600</v>
      </c>
      <c r="J266" s="12">
        <v>2201130</v>
      </c>
      <c r="K266" s="12">
        <v>0</v>
      </c>
      <c r="L266" s="12">
        <v>0</v>
      </c>
      <c r="M266" s="20">
        <f t="shared" si="52"/>
        <v>-1842330</v>
      </c>
      <c r="N266" s="13">
        <f t="shared" si="51"/>
        <v>279800</v>
      </c>
      <c r="O266" s="12">
        <v>279800</v>
      </c>
      <c r="P266" s="10">
        <f t="shared" si="53"/>
        <v>0</v>
      </c>
    </row>
    <row r="267" spans="1:16" s="14" customFormat="1" ht="15.75" customHeight="1" x14ac:dyDescent="0.25">
      <c r="A267" s="17">
        <v>46184</v>
      </c>
      <c r="B267" s="17" t="s">
        <v>4</v>
      </c>
      <c r="C267" s="18">
        <v>758</v>
      </c>
      <c r="D267" s="12">
        <v>192500</v>
      </c>
      <c r="E267" s="12">
        <v>91500</v>
      </c>
      <c r="F267" s="12">
        <v>30000</v>
      </c>
      <c r="G267" s="12">
        <v>38000</v>
      </c>
      <c r="H267" s="19">
        <f t="shared" si="45"/>
        <v>159500</v>
      </c>
      <c r="I267" s="9">
        <f t="shared" si="50"/>
        <v>352000</v>
      </c>
      <c r="J267" s="12">
        <v>0</v>
      </c>
      <c r="K267" s="12">
        <v>0</v>
      </c>
      <c r="L267" s="12">
        <f>148100+1546100+316533</f>
        <v>2010733</v>
      </c>
      <c r="M267" s="20">
        <f t="shared" si="52"/>
        <v>159500</v>
      </c>
      <c r="N267" s="13">
        <f t="shared" si="51"/>
        <v>192500</v>
      </c>
      <c r="O267" s="12">
        <v>192500</v>
      </c>
      <c r="P267" s="10">
        <f t="shared" si="53"/>
        <v>0</v>
      </c>
    </row>
    <row r="268" spans="1:16" s="14" customFormat="1" ht="15.75" customHeight="1" x14ac:dyDescent="0.25">
      <c r="A268" s="17">
        <v>46184</v>
      </c>
      <c r="B268" s="17" t="s">
        <v>5</v>
      </c>
      <c r="C268" s="18">
        <v>759</v>
      </c>
      <c r="D268" s="12">
        <v>247000</v>
      </c>
      <c r="E268" s="12">
        <v>215000</v>
      </c>
      <c r="F268" s="12">
        <v>21800</v>
      </c>
      <c r="G268" s="12">
        <v>34300</v>
      </c>
      <c r="H268" s="19">
        <f t="shared" si="45"/>
        <v>271100</v>
      </c>
      <c r="I268" s="9">
        <f t="shared" si="50"/>
        <v>518100</v>
      </c>
      <c r="J268" s="12">
        <v>0</v>
      </c>
      <c r="K268" s="12">
        <v>0</v>
      </c>
      <c r="L268" s="12">
        <v>0</v>
      </c>
      <c r="M268" s="20">
        <f t="shared" si="52"/>
        <v>271100</v>
      </c>
      <c r="N268" s="13">
        <f t="shared" si="51"/>
        <v>247000</v>
      </c>
      <c r="O268" s="12">
        <v>247000</v>
      </c>
      <c r="P268" s="10">
        <f t="shared" si="53"/>
        <v>0</v>
      </c>
    </row>
    <row r="269" spans="1:16" s="14" customFormat="1" ht="15.75" customHeight="1" x14ac:dyDescent="0.25">
      <c r="A269" s="17">
        <v>46185</v>
      </c>
      <c r="B269" s="17" t="s">
        <v>4</v>
      </c>
      <c r="C269" s="18">
        <v>760</v>
      </c>
      <c r="D269" s="12">
        <v>285800</v>
      </c>
      <c r="E269" s="12">
        <v>5000</v>
      </c>
      <c r="F269" s="12">
        <v>0</v>
      </c>
      <c r="G269" s="12">
        <v>161000</v>
      </c>
      <c r="H269" s="19">
        <f t="shared" si="45"/>
        <v>166000</v>
      </c>
      <c r="I269" s="9">
        <f t="shared" si="50"/>
        <v>451800</v>
      </c>
      <c r="J269" s="12">
        <v>0</v>
      </c>
      <c r="K269" s="12">
        <v>2000</v>
      </c>
      <c r="L269" s="12">
        <v>0</v>
      </c>
      <c r="M269" s="20">
        <f t="shared" si="52"/>
        <v>166000</v>
      </c>
      <c r="N269" s="13">
        <f t="shared" si="51"/>
        <v>283800</v>
      </c>
      <c r="O269" s="12">
        <v>283800</v>
      </c>
      <c r="P269" s="10">
        <f t="shared" si="53"/>
        <v>0</v>
      </c>
    </row>
    <row r="270" spans="1:16" s="14" customFormat="1" ht="15.75" customHeight="1" x14ac:dyDescent="0.25">
      <c r="A270" s="17">
        <v>46185</v>
      </c>
      <c r="B270" s="17" t="s">
        <v>5</v>
      </c>
      <c r="C270" s="18">
        <v>761</v>
      </c>
      <c r="D270" s="12">
        <v>485000</v>
      </c>
      <c r="E270" s="12">
        <v>237200</v>
      </c>
      <c r="F270" s="12">
        <v>107000</v>
      </c>
      <c r="G270" s="12">
        <v>37000</v>
      </c>
      <c r="H270" s="19">
        <f t="shared" si="45"/>
        <v>381200</v>
      </c>
      <c r="I270" s="9">
        <f t="shared" si="50"/>
        <v>866200</v>
      </c>
      <c r="J270" s="12">
        <v>0</v>
      </c>
      <c r="K270" s="12">
        <v>0</v>
      </c>
      <c r="L270" s="12">
        <v>0</v>
      </c>
      <c r="M270" s="20">
        <f t="shared" si="52"/>
        <v>381200</v>
      </c>
      <c r="N270" s="13">
        <f t="shared" si="51"/>
        <v>485000</v>
      </c>
      <c r="O270" s="12">
        <v>485000</v>
      </c>
      <c r="P270" s="10">
        <f t="shared" si="53"/>
        <v>0</v>
      </c>
    </row>
    <row r="271" spans="1:16" s="14" customFormat="1" ht="15.75" customHeight="1" x14ac:dyDescent="0.25">
      <c r="A271" s="17">
        <v>46186</v>
      </c>
      <c r="B271" s="17" t="s">
        <v>4</v>
      </c>
      <c r="C271" s="18">
        <v>762</v>
      </c>
      <c r="D271" s="12">
        <v>544100</v>
      </c>
      <c r="E271" s="12">
        <v>160500</v>
      </c>
      <c r="F271" s="12">
        <v>0</v>
      </c>
      <c r="G271" s="12">
        <v>53000</v>
      </c>
      <c r="H271" s="19">
        <f t="shared" si="45"/>
        <v>213500</v>
      </c>
      <c r="I271" s="9">
        <f t="shared" si="50"/>
        <v>757600</v>
      </c>
      <c r="J271" s="12">
        <v>305000</v>
      </c>
      <c r="K271" s="12">
        <v>0</v>
      </c>
      <c r="L271" s="12">
        <f>83800+1274025</f>
        <v>1357825</v>
      </c>
      <c r="M271" s="20">
        <f t="shared" si="52"/>
        <v>-91500</v>
      </c>
      <c r="N271" s="13">
        <f t="shared" si="51"/>
        <v>544100</v>
      </c>
      <c r="O271" s="12">
        <v>544100</v>
      </c>
      <c r="P271" s="10">
        <f t="shared" si="53"/>
        <v>0</v>
      </c>
    </row>
    <row r="272" spans="1:16" s="14" customFormat="1" ht="15.75" customHeight="1" x14ac:dyDescent="0.25">
      <c r="A272" s="17">
        <v>46187</v>
      </c>
      <c r="B272" s="17" t="s">
        <v>5</v>
      </c>
      <c r="C272" s="18">
        <v>763</v>
      </c>
      <c r="D272" s="12">
        <v>477700</v>
      </c>
      <c r="E272" s="12">
        <v>185000</v>
      </c>
      <c r="F272" s="12">
        <v>0</v>
      </c>
      <c r="G272" s="12">
        <v>190300</v>
      </c>
      <c r="H272" s="19">
        <f t="shared" si="45"/>
        <v>375300</v>
      </c>
      <c r="I272" s="9">
        <f t="shared" si="50"/>
        <v>853000</v>
      </c>
      <c r="J272" s="12">
        <v>0</v>
      </c>
      <c r="K272" s="12">
        <v>0</v>
      </c>
      <c r="L272" s="12">
        <v>0</v>
      </c>
      <c r="M272" s="20">
        <f t="shared" si="52"/>
        <v>375300</v>
      </c>
      <c r="N272" s="13">
        <f t="shared" si="51"/>
        <v>477700</v>
      </c>
      <c r="O272" s="12">
        <v>477700</v>
      </c>
      <c r="P272" s="10">
        <f t="shared" si="53"/>
        <v>0</v>
      </c>
    </row>
    <row r="273" spans="1:16" s="14" customFormat="1" ht="15.75" customHeight="1" x14ac:dyDescent="0.25">
      <c r="A273" s="17">
        <v>46188</v>
      </c>
      <c r="B273" s="21" t="s">
        <v>5</v>
      </c>
      <c r="C273" s="18">
        <v>764</v>
      </c>
      <c r="D273" s="12">
        <v>242700</v>
      </c>
      <c r="E273" s="12">
        <v>63000</v>
      </c>
      <c r="F273" s="12">
        <v>0</v>
      </c>
      <c r="G273" s="12">
        <v>321500</v>
      </c>
      <c r="H273" s="19">
        <f t="shared" si="45"/>
        <v>384500</v>
      </c>
      <c r="I273" s="9">
        <f t="shared" si="50"/>
        <v>627200</v>
      </c>
      <c r="J273" s="12">
        <v>0</v>
      </c>
      <c r="K273" s="12">
        <v>0</v>
      </c>
      <c r="L273" s="12">
        <v>0</v>
      </c>
      <c r="M273" s="20">
        <f t="shared" si="52"/>
        <v>384500</v>
      </c>
      <c r="N273" s="13">
        <f t="shared" si="51"/>
        <v>242700</v>
      </c>
      <c r="O273" s="12">
        <v>242700</v>
      </c>
      <c r="P273" s="10">
        <f t="shared" si="53"/>
        <v>0</v>
      </c>
    </row>
    <row r="274" spans="1:16" s="14" customFormat="1" ht="15.75" customHeight="1" x14ac:dyDescent="0.25">
      <c r="A274" s="17">
        <v>46188</v>
      </c>
      <c r="B274" s="17" t="s">
        <v>4</v>
      </c>
      <c r="C274" s="18">
        <v>765</v>
      </c>
      <c r="D274" s="12">
        <v>161200</v>
      </c>
      <c r="E274" s="12">
        <v>51300</v>
      </c>
      <c r="F274" s="12">
        <v>0</v>
      </c>
      <c r="G274" s="12">
        <v>166500</v>
      </c>
      <c r="H274" s="19">
        <f t="shared" si="45"/>
        <v>217800</v>
      </c>
      <c r="I274" s="9">
        <f t="shared" si="50"/>
        <v>379000</v>
      </c>
      <c r="J274" s="12">
        <v>3000000</v>
      </c>
      <c r="K274" s="12">
        <v>0</v>
      </c>
      <c r="L274" s="12">
        <f>150000+150000+100000+100000</f>
        <v>500000</v>
      </c>
      <c r="M274" s="20">
        <f t="shared" si="52"/>
        <v>-2782200</v>
      </c>
      <c r="N274" s="13">
        <f t="shared" si="51"/>
        <v>161200</v>
      </c>
      <c r="O274" s="12">
        <v>161200</v>
      </c>
      <c r="P274" s="10">
        <f t="shared" si="53"/>
        <v>0</v>
      </c>
    </row>
    <row r="275" spans="1:16" s="14" customFormat="1" ht="15.75" customHeight="1" x14ac:dyDescent="0.25">
      <c r="A275" s="17">
        <v>46189</v>
      </c>
      <c r="B275" s="21" t="s">
        <v>5</v>
      </c>
      <c r="C275" s="18">
        <v>766</v>
      </c>
      <c r="D275" s="12">
        <v>256500</v>
      </c>
      <c r="E275" s="12">
        <v>20000</v>
      </c>
      <c r="F275" s="12">
        <v>327000</v>
      </c>
      <c r="G275" s="12">
        <v>14000</v>
      </c>
      <c r="H275" s="19">
        <f t="shared" si="45"/>
        <v>361000</v>
      </c>
      <c r="I275" s="9">
        <f t="shared" si="50"/>
        <v>617500</v>
      </c>
      <c r="J275" s="12">
        <v>0</v>
      </c>
      <c r="K275" s="12">
        <v>8000</v>
      </c>
      <c r="L275" s="12">
        <v>29500</v>
      </c>
      <c r="M275" s="20">
        <f t="shared" si="52"/>
        <v>361000</v>
      </c>
      <c r="N275" s="13">
        <f t="shared" si="51"/>
        <v>248500</v>
      </c>
      <c r="O275" s="12">
        <v>248500</v>
      </c>
      <c r="P275" s="10">
        <f t="shared" si="53"/>
        <v>0</v>
      </c>
    </row>
    <row r="276" spans="1:16" s="14" customFormat="1" ht="15.75" customHeight="1" x14ac:dyDescent="0.25">
      <c r="A276" s="17">
        <v>46189</v>
      </c>
      <c r="B276" s="17" t="s">
        <v>4</v>
      </c>
      <c r="C276" s="18">
        <v>767</v>
      </c>
      <c r="D276" s="12">
        <v>677500</v>
      </c>
      <c r="E276" s="12">
        <v>248500</v>
      </c>
      <c r="F276" s="12">
        <v>27000</v>
      </c>
      <c r="G276" s="12">
        <v>157500</v>
      </c>
      <c r="H276" s="19">
        <f t="shared" si="45"/>
        <v>433000</v>
      </c>
      <c r="I276" s="9">
        <f t="shared" si="50"/>
        <v>1110500</v>
      </c>
      <c r="J276" s="12">
        <v>0</v>
      </c>
      <c r="K276" s="12">
        <v>0</v>
      </c>
      <c r="L276" s="12">
        <f>240000+1262200</f>
        <v>1502200</v>
      </c>
      <c r="M276" s="20">
        <f t="shared" si="52"/>
        <v>433000</v>
      </c>
      <c r="N276" s="13">
        <f t="shared" si="51"/>
        <v>677500</v>
      </c>
      <c r="O276" s="12">
        <v>677500</v>
      </c>
      <c r="P276" s="10">
        <f t="shared" si="53"/>
        <v>0</v>
      </c>
    </row>
    <row r="277" spans="1:16" s="14" customFormat="1" ht="15.75" customHeight="1" x14ac:dyDescent="0.25">
      <c r="A277" s="17">
        <v>46190</v>
      </c>
      <c r="B277" s="17" t="s">
        <v>5</v>
      </c>
      <c r="C277" s="18">
        <v>768</v>
      </c>
      <c r="D277" s="12">
        <v>424500</v>
      </c>
      <c r="E277" s="12">
        <v>93500</v>
      </c>
      <c r="F277" s="12">
        <v>27000</v>
      </c>
      <c r="G277" s="12">
        <v>363500</v>
      </c>
      <c r="H277" s="19">
        <f t="shared" si="45"/>
        <v>484000</v>
      </c>
      <c r="I277" s="9">
        <f t="shared" si="50"/>
        <v>908500</v>
      </c>
      <c r="J277" s="12">
        <v>0</v>
      </c>
      <c r="K277" s="12">
        <v>18000</v>
      </c>
      <c r="L277" s="12"/>
      <c r="M277" s="20">
        <f t="shared" si="52"/>
        <v>484000</v>
      </c>
      <c r="N277" s="13">
        <f t="shared" si="51"/>
        <v>406500</v>
      </c>
      <c r="O277" s="12">
        <v>406500</v>
      </c>
      <c r="P277" s="10">
        <f t="shared" si="53"/>
        <v>0</v>
      </c>
    </row>
    <row r="278" spans="1:16" s="14" customFormat="1" ht="15.75" customHeight="1" x14ac:dyDescent="0.25">
      <c r="A278" s="17">
        <v>46190</v>
      </c>
      <c r="B278" s="17" t="s">
        <v>4</v>
      </c>
      <c r="C278" s="18">
        <v>769</v>
      </c>
      <c r="D278" s="12">
        <v>257000</v>
      </c>
      <c r="E278" s="12">
        <v>160300</v>
      </c>
      <c r="F278" s="12">
        <v>62000</v>
      </c>
      <c r="G278" s="12">
        <v>26000</v>
      </c>
      <c r="H278" s="19">
        <f t="shared" si="45"/>
        <v>248300</v>
      </c>
      <c r="I278" s="9">
        <f t="shared" si="50"/>
        <v>505300</v>
      </c>
      <c r="J278" s="12">
        <v>0</v>
      </c>
      <c r="K278" s="12">
        <v>0</v>
      </c>
      <c r="L278" s="12">
        <v>0</v>
      </c>
      <c r="M278" s="20">
        <f t="shared" si="52"/>
        <v>248300</v>
      </c>
      <c r="N278" s="13">
        <f t="shared" si="51"/>
        <v>257000</v>
      </c>
      <c r="O278" s="12">
        <v>257000</v>
      </c>
      <c r="P278" s="10">
        <f t="shared" si="53"/>
        <v>0</v>
      </c>
    </row>
    <row r="279" spans="1:16" s="14" customFormat="1" ht="15.75" customHeight="1" x14ac:dyDescent="0.25">
      <c r="A279" s="17">
        <v>46191</v>
      </c>
      <c r="B279" s="17" t="s">
        <v>5</v>
      </c>
      <c r="C279" s="18">
        <v>770</v>
      </c>
      <c r="D279" s="12">
        <v>120300</v>
      </c>
      <c r="E279" s="12">
        <v>90000</v>
      </c>
      <c r="F279" s="12">
        <v>105000</v>
      </c>
      <c r="G279" s="12">
        <v>67000</v>
      </c>
      <c r="H279" s="19">
        <f t="shared" si="45"/>
        <v>262000</v>
      </c>
      <c r="I279" s="9">
        <f t="shared" si="50"/>
        <v>382300</v>
      </c>
      <c r="J279" s="12">
        <v>19900</v>
      </c>
      <c r="K279" s="12">
        <v>0</v>
      </c>
      <c r="L279" s="12">
        <f>38000+299400</f>
        <v>337400</v>
      </c>
      <c r="M279" s="20">
        <f t="shared" si="52"/>
        <v>242100</v>
      </c>
      <c r="N279" s="13">
        <f t="shared" si="51"/>
        <v>120300</v>
      </c>
      <c r="O279" s="12">
        <v>120300</v>
      </c>
      <c r="P279" s="10">
        <f t="shared" si="53"/>
        <v>0</v>
      </c>
    </row>
    <row r="280" spans="1:16" s="14" customFormat="1" ht="15.75" customHeight="1" x14ac:dyDescent="0.25">
      <c r="A280" s="17">
        <v>46191</v>
      </c>
      <c r="B280" s="17" t="s">
        <v>4</v>
      </c>
      <c r="C280" s="18">
        <v>771</v>
      </c>
      <c r="D280" s="12">
        <v>552200</v>
      </c>
      <c r="E280" s="12">
        <v>156300</v>
      </c>
      <c r="F280" s="12">
        <v>0</v>
      </c>
      <c r="G280" s="12">
        <v>245500</v>
      </c>
      <c r="H280" s="19">
        <f t="shared" si="45"/>
        <v>401800</v>
      </c>
      <c r="I280" s="9">
        <f t="shared" si="50"/>
        <v>954000</v>
      </c>
      <c r="J280" s="12">
        <v>0</v>
      </c>
      <c r="K280" s="12">
        <v>0</v>
      </c>
      <c r="L280" s="12">
        <f>112500+38000</f>
        <v>150500</v>
      </c>
      <c r="M280" s="20">
        <f t="shared" si="52"/>
        <v>401800</v>
      </c>
      <c r="N280" s="13">
        <f t="shared" si="51"/>
        <v>552200</v>
      </c>
      <c r="O280" s="12">
        <v>552700</v>
      </c>
      <c r="P280" s="10">
        <f t="shared" si="53"/>
        <v>500</v>
      </c>
    </row>
    <row r="281" spans="1:16" s="14" customFormat="1" ht="15.75" customHeight="1" x14ac:dyDescent="0.25">
      <c r="A281" s="17">
        <v>46192</v>
      </c>
      <c r="B281" s="17" t="s">
        <v>5</v>
      </c>
      <c r="C281" s="18">
        <v>772</v>
      </c>
      <c r="D281" s="12">
        <v>115500</v>
      </c>
      <c r="E281" s="12">
        <v>16000</v>
      </c>
      <c r="F281" s="12">
        <v>0</v>
      </c>
      <c r="G281" s="12">
        <v>180400</v>
      </c>
      <c r="H281" s="19">
        <f t="shared" si="45"/>
        <v>196400</v>
      </c>
      <c r="I281" s="9">
        <f t="shared" si="50"/>
        <v>311900</v>
      </c>
      <c r="J281" s="12">
        <v>0</v>
      </c>
      <c r="K281" s="12">
        <v>26000</v>
      </c>
      <c r="L281" s="12">
        <v>0</v>
      </c>
      <c r="M281" s="20">
        <f t="shared" si="52"/>
        <v>196400</v>
      </c>
      <c r="N281" s="13">
        <f t="shared" si="51"/>
        <v>89500</v>
      </c>
      <c r="O281" s="12">
        <v>89500</v>
      </c>
      <c r="P281" s="10">
        <f t="shared" si="53"/>
        <v>0</v>
      </c>
    </row>
    <row r="282" spans="1:16" s="14" customFormat="1" ht="15.75" customHeight="1" x14ac:dyDescent="0.25">
      <c r="A282" s="17">
        <v>46192</v>
      </c>
      <c r="B282" s="17" t="s">
        <v>4</v>
      </c>
      <c r="C282" s="18">
        <v>773</v>
      </c>
      <c r="D282" s="12">
        <v>256800</v>
      </c>
      <c r="E282" s="12">
        <v>262500</v>
      </c>
      <c r="F282" s="12">
        <v>13000</v>
      </c>
      <c r="G282" s="12">
        <v>337500</v>
      </c>
      <c r="H282" s="19">
        <f t="shared" si="45"/>
        <v>613000</v>
      </c>
      <c r="I282" s="9">
        <f t="shared" si="50"/>
        <v>869800</v>
      </c>
      <c r="J282" s="12">
        <v>1104293</v>
      </c>
      <c r="K282" s="12">
        <v>0</v>
      </c>
      <c r="L282" s="12">
        <f>1040450+30000</f>
        <v>1070450</v>
      </c>
      <c r="M282" s="20">
        <f t="shared" si="52"/>
        <v>-491293</v>
      </c>
      <c r="N282" s="13">
        <f t="shared" si="51"/>
        <v>256800</v>
      </c>
      <c r="O282" s="12">
        <v>256800</v>
      </c>
      <c r="P282" s="10">
        <f t="shared" si="53"/>
        <v>0</v>
      </c>
    </row>
    <row r="283" spans="1:16" s="14" customFormat="1" ht="16.5" customHeight="1" x14ac:dyDescent="0.25">
      <c r="A283" s="17">
        <v>46193</v>
      </c>
      <c r="B283" s="17" t="s">
        <v>5</v>
      </c>
      <c r="C283" s="18">
        <v>774</v>
      </c>
      <c r="D283" s="12">
        <v>450700</v>
      </c>
      <c r="E283" s="12">
        <v>160000</v>
      </c>
      <c r="F283" s="12">
        <v>12000</v>
      </c>
      <c r="G283" s="12">
        <v>164600</v>
      </c>
      <c r="H283" s="19">
        <f t="shared" si="45"/>
        <v>336600</v>
      </c>
      <c r="I283" s="9">
        <f t="shared" si="50"/>
        <v>787300</v>
      </c>
      <c r="J283" s="12">
        <v>0</v>
      </c>
      <c r="K283" s="12">
        <v>7000</v>
      </c>
      <c r="L283" s="12">
        <v>809600</v>
      </c>
      <c r="M283" s="20">
        <f t="shared" si="52"/>
        <v>336600</v>
      </c>
      <c r="N283" s="13">
        <f t="shared" si="51"/>
        <v>443700</v>
      </c>
      <c r="O283" s="12">
        <v>443700</v>
      </c>
      <c r="P283" s="10">
        <f t="shared" si="53"/>
        <v>0</v>
      </c>
    </row>
    <row r="284" spans="1:16" s="14" customFormat="1" ht="15.75" customHeight="1" x14ac:dyDescent="0.25">
      <c r="A284" s="17">
        <v>46194</v>
      </c>
      <c r="B284" s="17" t="s">
        <v>4</v>
      </c>
      <c r="C284" s="18">
        <v>775</v>
      </c>
      <c r="D284" s="12">
        <v>162300</v>
      </c>
      <c r="E284" s="12">
        <v>158000</v>
      </c>
      <c r="F284" s="12">
        <v>0</v>
      </c>
      <c r="G284" s="12">
        <v>63100</v>
      </c>
      <c r="H284" s="19">
        <f t="shared" si="45"/>
        <v>221100</v>
      </c>
      <c r="I284" s="9">
        <f t="shared" si="50"/>
        <v>383400</v>
      </c>
      <c r="J284" s="12">
        <v>0</v>
      </c>
      <c r="K284" s="12">
        <v>0</v>
      </c>
      <c r="L284" s="12">
        <v>0</v>
      </c>
      <c r="M284" s="20">
        <f t="shared" si="52"/>
        <v>221100</v>
      </c>
      <c r="N284" s="13">
        <f t="shared" si="51"/>
        <v>162300</v>
      </c>
      <c r="O284" s="12">
        <v>162300</v>
      </c>
      <c r="P284" s="10">
        <f t="shared" si="53"/>
        <v>0</v>
      </c>
    </row>
    <row r="285" spans="1:16" s="14" customFormat="1" ht="15.75" customHeight="1" x14ac:dyDescent="0.25">
      <c r="A285" s="17">
        <v>46195</v>
      </c>
      <c r="B285" s="17" t="s">
        <v>4</v>
      </c>
      <c r="C285" s="18">
        <v>776</v>
      </c>
      <c r="D285" s="12">
        <v>188500</v>
      </c>
      <c r="E285" s="12">
        <v>27500</v>
      </c>
      <c r="F285" s="12">
        <v>0</v>
      </c>
      <c r="G285" s="12">
        <v>56000</v>
      </c>
      <c r="H285" s="19">
        <f t="shared" si="45"/>
        <v>83500</v>
      </c>
      <c r="I285" s="9">
        <f t="shared" si="50"/>
        <v>272000</v>
      </c>
      <c r="J285" s="12">
        <v>1799310</v>
      </c>
      <c r="K285" s="12">
        <v>0</v>
      </c>
      <c r="L285" s="12">
        <v>0</v>
      </c>
      <c r="M285" s="20">
        <f t="shared" si="52"/>
        <v>-1715810</v>
      </c>
      <c r="N285" s="13">
        <f t="shared" si="51"/>
        <v>188500</v>
      </c>
      <c r="O285" s="12">
        <v>188500</v>
      </c>
      <c r="P285" s="10">
        <f t="shared" si="53"/>
        <v>0</v>
      </c>
    </row>
    <row r="286" spans="1:16" s="14" customFormat="1" ht="15.75" customHeight="1" x14ac:dyDescent="0.25">
      <c r="A286" s="17">
        <v>46195</v>
      </c>
      <c r="B286" s="21" t="s">
        <v>5</v>
      </c>
      <c r="C286" s="18">
        <v>777</v>
      </c>
      <c r="D286" s="12">
        <v>270600</v>
      </c>
      <c r="E286" s="12">
        <v>101000</v>
      </c>
      <c r="F286" s="12">
        <v>84000</v>
      </c>
      <c r="G286" s="12">
        <v>147800</v>
      </c>
      <c r="H286" s="19">
        <f t="shared" si="45"/>
        <v>332800</v>
      </c>
      <c r="I286" s="9">
        <f t="shared" si="50"/>
        <v>603400</v>
      </c>
      <c r="J286" s="12">
        <v>0</v>
      </c>
      <c r="K286" s="12">
        <v>96000</v>
      </c>
      <c r="L286" s="12">
        <v>0</v>
      </c>
      <c r="M286" s="20">
        <f t="shared" si="52"/>
        <v>332800</v>
      </c>
      <c r="N286" s="13">
        <f t="shared" si="51"/>
        <v>174600</v>
      </c>
      <c r="O286" s="12">
        <v>174600</v>
      </c>
      <c r="P286" s="10">
        <f t="shared" si="53"/>
        <v>0</v>
      </c>
    </row>
    <row r="287" spans="1:16" s="14" customFormat="1" ht="15.75" customHeight="1" x14ac:dyDescent="0.25">
      <c r="A287" s="17">
        <v>46196</v>
      </c>
      <c r="B287" s="17" t="s">
        <v>4</v>
      </c>
      <c r="C287" s="18">
        <v>778</v>
      </c>
      <c r="D287" s="12">
        <v>262500</v>
      </c>
      <c r="E287" s="12">
        <v>121500</v>
      </c>
      <c r="F287" s="12">
        <v>64000</v>
      </c>
      <c r="G287" s="12">
        <v>80000</v>
      </c>
      <c r="H287" s="19">
        <f t="shared" si="45"/>
        <v>265500</v>
      </c>
      <c r="I287" s="9">
        <f t="shared" si="50"/>
        <v>528000</v>
      </c>
      <c r="J287" s="12">
        <v>0</v>
      </c>
      <c r="K287" s="12">
        <v>0</v>
      </c>
      <c r="L287" s="12">
        <v>255950</v>
      </c>
      <c r="M287" s="20">
        <f t="shared" si="52"/>
        <v>265500</v>
      </c>
      <c r="N287" s="13">
        <f t="shared" si="51"/>
        <v>262500</v>
      </c>
      <c r="O287" s="12">
        <v>262500</v>
      </c>
      <c r="P287" s="10">
        <f t="shared" si="53"/>
        <v>0</v>
      </c>
    </row>
    <row r="288" spans="1:16" s="14" customFormat="1" ht="15.75" customHeight="1" x14ac:dyDescent="0.25">
      <c r="A288" s="17">
        <v>46196</v>
      </c>
      <c r="B288" s="17" t="s">
        <v>5</v>
      </c>
      <c r="C288" s="18">
        <v>779</v>
      </c>
      <c r="D288" s="12">
        <v>330900</v>
      </c>
      <c r="E288" s="12">
        <v>107200</v>
      </c>
      <c r="F288" s="12">
        <v>231000</v>
      </c>
      <c r="G288" s="12">
        <v>9200</v>
      </c>
      <c r="H288" s="19">
        <f t="shared" si="45"/>
        <v>347400</v>
      </c>
      <c r="I288" s="9">
        <f t="shared" si="50"/>
        <v>678300</v>
      </c>
      <c r="J288" s="12">
        <v>0</v>
      </c>
      <c r="K288" s="12">
        <v>5000</v>
      </c>
      <c r="L288" s="12">
        <v>0</v>
      </c>
      <c r="M288" s="20">
        <f t="shared" si="52"/>
        <v>347400</v>
      </c>
      <c r="N288" s="13">
        <f t="shared" si="51"/>
        <v>325900</v>
      </c>
      <c r="O288" s="12">
        <v>325900</v>
      </c>
      <c r="P288" s="10">
        <f t="shared" si="53"/>
        <v>0</v>
      </c>
    </row>
    <row r="289" spans="1:16" s="14" customFormat="1" ht="15.75" customHeight="1" x14ac:dyDescent="0.25">
      <c r="A289" s="17">
        <v>46197</v>
      </c>
      <c r="B289" s="21" t="s">
        <v>4</v>
      </c>
      <c r="C289" s="18">
        <v>780</v>
      </c>
      <c r="D289" s="12">
        <v>233600</v>
      </c>
      <c r="E289" s="12">
        <v>62500</v>
      </c>
      <c r="F289" s="12">
        <v>34000</v>
      </c>
      <c r="G289" s="12">
        <v>132400</v>
      </c>
      <c r="H289" s="19">
        <f t="shared" si="45"/>
        <v>228900</v>
      </c>
      <c r="I289" s="9">
        <f t="shared" si="50"/>
        <v>462500</v>
      </c>
      <c r="J289" s="12">
        <v>0</v>
      </c>
      <c r="K289" s="12">
        <v>0</v>
      </c>
      <c r="L289" s="12">
        <v>0</v>
      </c>
      <c r="M289" s="20">
        <f t="shared" si="52"/>
        <v>228900</v>
      </c>
      <c r="N289" s="13">
        <f t="shared" si="51"/>
        <v>233600</v>
      </c>
      <c r="O289" s="12">
        <v>233600</v>
      </c>
      <c r="P289" s="10">
        <f t="shared" si="53"/>
        <v>0</v>
      </c>
    </row>
    <row r="290" spans="1:16" s="14" customFormat="1" ht="15.75" customHeight="1" x14ac:dyDescent="0.25">
      <c r="A290" s="17">
        <v>46197</v>
      </c>
      <c r="B290" s="17" t="s">
        <v>5</v>
      </c>
      <c r="C290" s="18">
        <v>781</v>
      </c>
      <c r="D290" s="12">
        <v>341600</v>
      </c>
      <c r="E290" s="12">
        <v>141300</v>
      </c>
      <c r="F290" s="12">
        <v>75000</v>
      </c>
      <c r="G290" s="12">
        <v>142500</v>
      </c>
      <c r="H290" s="19">
        <f t="shared" si="45"/>
        <v>358800</v>
      </c>
      <c r="I290" s="9">
        <f t="shared" si="50"/>
        <v>700400</v>
      </c>
      <c r="J290" s="12">
        <v>0</v>
      </c>
      <c r="K290" s="12">
        <v>2000</v>
      </c>
      <c r="L290" s="12">
        <v>0</v>
      </c>
      <c r="M290" s="20">
        <f t="shared" si="52"/>
        <v>358800</v>
      </c>
      <c r="N290" s="13">
        <f t="shared" si="51"/>
        <v>339600</v>
      </c>
      <c r="O290" s="12">
        <v>339600</v>
      </c>
      <c r="P290" s="10">
        <f t="shared" si="53"/>
        <v>0</v>
      </c>
    </row>
    <row r="291" spans="1:16" s="14" customFormat="1" ht="15.75" customHeight="1" x14ac:dyDescent="0.25">
      <c r="A291" s="17">
        <v>46198</v>
      </c>
      <c r="B291" s="17" t="s">
        <v>4</v>
      </c>
      <c r="C291" s="18">
        <v>782</v>
      </c>
      <c r="D291" s="12">
        <v>136500</v>
      </c>
      <c r="E291" s="12">
        <v>40000</v>
      </c>
      <c r="F291" s="12">
        <v>0</v>
      </c>
      <c r="G291" s="12">
        <v>230800</v>
      </c>
      <c r="H291" s="19">
        <f t="shared" si="45"/>
        <v>270800</v>
      </c>
      <c r="I291" s="9">
        <f t="shared" si="50"/>
        <v>407300</v>
      </c>
      <c r="J291" s="12">
        <v>1543000</v>
      </c>
      <c r="K291" s="12">
        <v>0</v>
      </c>
      <c r="L291" s="12">
        <f>1010000+800000+112000</f>
        <v>1922000</v>
      </c>
      <c r="M291" s="20">
        <f t="shared" si="52"/>
        <v>-1272200</v>
      </c>
      <c r="N291" s="13">
        <f t="shared" si="51"/>
        <v>136500</v>
      </c>
      <c r="O291" s="12">
        <v>136500</v>
      </c>
      <c r="P291" s="10">
        <f t="shared" si="53"/>
        <v>0</v>
      </c>
    </row>
    <row r="292" spans="1:16" s="14" customFormat="1" ht="16.5" customHeight="1" x14ac:dyDescent="0.25">
      <c r="A292" s="17">
        <v>46198</v>
      </c>
      <c r="B292" s="17" t="s">
        <v>5</v>
      </c>
      <c r="C292" s="18">
        <v>783</v>
      </c>
      <c r="D292" s="12">
        <v>292000</v>
      </c>
      <c r="E292" s="12">
        <v>0</v>
      </c>
      <c r="F292" s="12">
        <v>37200</v>
      </c>
      <c r="G292" s="12">
        <v>79500</v>
      </c>
      <c r="H292" s="19">
        <f t="shared" si="45"/>
        <v>116700</v>
      </c>
      <c r="I292" s="9">
        <f t="shared" si="50"/>
        <v>408700</v>
      </c>
      <c r="J292" s="12">
        <v>0</v>
      </c>
      <c r="K292" s="12">
        <v>4000</v>
      </c>
      <c r="L292" s="12">
        <f>32000+4000</f>
        <v>36000</v>
      </c>
      <c r="M292" s="20">
        <f t="shared" si="52"/>
        <v>116700</v>
      </c>
      <c r="N292" s="13">
        <f t="shared" si="51"/>
        <v>288000</v>
      </c>
      <c r="O292" s="12">
        <v>288000</v>
      </c>
      <c r="P292" s="10">
        <f t="shared" si="53"/>
        <v>0</v>
      </c>
    </row>
    <row r="293" spans="1:16" s="14" customFormat="1" ht="15.75" customHeight="1" x14ac:dyDescent="0.25">
      <c r="A293" s="17">
        <v>46199</v>
      </c>
      <c r="B293" s="17" t="s">
        <v>4</v>
      </c>
      <c r="C293" s="18">
        <v>784</v>
      </c>
      <c r="D293" s="12">
        <v>293300</v>
      </c>
      <c r="E293" s="12">
        <v>53000</v>
      </c>
      <c r="F293" s="12">
        <v>55800</v>
      </c>
      <c r="G293" s="12">
        <v>125000</v>
      </c>
      <c r="H293" s="19">
        <f t="shared" si="45"/>
        <v>233800</v>
      </c>
      <c r="I293" s="9">
        <f t="shared" si="50"/>
        <v>527100</v>
      </c>
      <c r="J293" s="12">
        <f>213239+344410</f>
        <v>557649</v>
      </c>
      <c r="K293" s="12">
        <v>0</v>
      </c>
      <c r="L293" s="12">
        <v>55900</v>
      </c>
      <c r="M293" s="20">
        <f t="shared" si="52"/>
        <v>-323849</v>
      </c>
      <c r="N293" s="13">
        <f t="shared" si="51"/>
        <v>293300</v>
      </c>
      <c r="O293" s="12">
        <v>293300</v>
      </c>
      <c r="P293" s="10">
        <f t="shared" si="53"/>
        <v>0</v>
      </c>
    </row>
    <row r="294" spans="1:16" s="14" customFormat="1" ht="15.75" customHeight="1" x14ac:dyDescent="0.25">
      <c r="A294" s="17">
        <v>46199</v>
      </c>
      <c r="B294" s="21" t="s">
        <v>5</v>
      </c>
      <c r="C294" s="18">
        <v>785</v>
      </c>
      <c r="D294" s="12">
        <v>213000</v>
      </c>
      <c r="E294" s="12">
        <v>30000</v>
      </c>
      <c r="F294" s="12">
        <v>287900</v>
      </c>
      <c r="G294" s="12">
        <v>203000</v>
      </c>
      <c r="H294" s="19">
        <f t="shared" si="45"/>
        <v>520900</v>
      </c>
      <c r="I294" s="9">
        <f t="shared" si="50"/>
        <v>733900</v>
      </c>
      <c r="J294" s="12">
        <v>0</v>
      </c>
      <c r="K294" s="12">
        <v>11000</v>
      </c>
      <c r="L294" s="12">
        <v>0</v>
      </c>
      <c r="M294" s="20">
        <f t="shared" si="52"/>
        <v>520900</v>
      </c>
      <c r="N294" s="13">
        <f t="shared" si="51"/>
        <v>202000</v>
      </c>
      <c r="O294" s="12">
        <v>202000</v>
      </c>
      <c r="P294" s="10">
        <f t="shared" si="53"/>
        <v>0</v>
      </c>
    </row>
    <row r="295" spans="1:16" s="14" customFormat="1" ht="15.75" customHeight="1" x14ac:dyDescent="0.25">
      <c r="A295" s="17">
        <v>46200</v>
      </c>
      <c r="B295" s="17" t="s">
        <v>4</v>
      </c>
      <c r="C295" s="18">
        <v>786</v>
      </c>
      <c r="D295" s="12">
        <v>522300</v>
      </c>
      <c r="E295" s="12">
        <v>504200</v>
      </c>
      <c r="F295" s="12">
        <v>483000</v>
      </c>
      <c r="G295" s="12">
        <v>305000</v>
      </c>
      <c r="H295" s="19">
        <f t="shared" si="45"/>
        <v>1292200</v>
      </c>
      <c r="I295" s="9">
        <f t="shared" si="50"/>
        <v>1814500</v>
      </c>
      <c r="J295" s="12">
        <v>0</v>
      </c>
      <c r="K295" s="12">
        <v>110499</v>
      </c>
      <c r="L295" s="12">
        <v>30000</v>
      </c>
      <c r="M295" s="20">
        <f t="shared" si="52"/>
        <v>1292200</v>
      </c>
      <c r="N295" s="13">
        <f t="shared" si="51"/>
        <v>411801</v>
      </c>
      <c r="O295" s="12">
        <v>411900</v>
      </c>
      <c r="P295" s="10">
        <f t="shared" si="53"/>
        <v>99</v>
      </c>
    </row>
    <row r="296" spans="1:16" s="14" customFormat="1" ht="15.75" customHeight="1" x14ac:dyDescent="0.25">
      <c r="A296" s="17">
        <v>46201</v>
      </c>
      <c r="B296" s="17" t="s">
        <v>5</v>
      </c>
      <c r="C296" s="18">
        <v>787</v>
      </c>
      <c r="D296" s="12">
        <v>605400</v>
      </c>
      <c r="E296" s="12">
        <v>250500</v>
      </c>
      <c r="F296" s="12">
        <v>85500</v>
      </c>
      <c r="G296" s="12">
        <v>140800</v>
      </c>
      <c r="H296" s="19">
        <f t="shared" si="45"/>
        <v>476800</v>
      </c>
      <c r="I296" s="9">
        <f t="shared" si="50"/>
        <v>1082200</v>
      </c>
      <c r="J296" s="12">
        <v>0</v>
      </c>
      <c r="K296" s="12">
        <v>0</v>
      </c>
      <c r="L296" s="12">
        <v>0</v>
      </c>
      <c r="M296" s="20">
        <f t="shared" si="52"/>
        <v>476800</v>
      </c>
      <c r="N296" s="13">
        <f t="shared" si="51"/>
        <v>605400</v>
      </c>
      <c r="O296" s="12">
        <v>605400</v>
      </c>
      <c r="P296" s="10">
        <f t="shared" si="53"/>
        <v>0</v>
      </c>
    </row>
    <row r="297" spans="1:16" s="14" customFormat="1" ht="15.75" customHeight="1" x14ac:dyDescent="0.25">
      <c r="A297" s="17">
        <v>46202</v>
      </c>
      <c r="B297" s="17" t="s">
        <v>5</v>
      </c>
      <c r="C297" s="18">
        <v>788</v>
      </c>
      <c r="D297" s="12">
        <v>128100</v>
      </c>
      <c r="E297" s="12">
        <v>29000</v>
      </c>
      <c r="F297" s="12">
        <v>0</v>
      </c>
      <c r="G297" s="12">
        <v>48500</v>
      </c>
      <c r="H297" s="19">
        <f t="shared" si="45"/>
        <v>77500</v>
      </c>
      <c r="I297" s="9">
        <f t="shared" si="50"/>
        <v>205600</v>
      </c>
      <c r="J297" s="12">
        <v>0</v>
      </c>
      <c r="K297" s="12">
        <v>0</v>
      </c>
      <c r="L297" s="12">
        <v>0</v>
      </c>
      <c r="M297" s="20">
        <f t="shared" si="52"/>
        <v>77500</v>
      </c>
      <c r="N297" s="13">
        <f t="shared" si="51"/>
        <v>128100</v>
      </c>
      <c r="O297" s="12">
        <v>128100</v>
      </c>
      <c r="P297" s="10">
        <f t="shared" si="53"/>
        <v>0</v>
      </c>
    </row>
    <row r="298" spans="1:16" s="14" customFormat="1" ht="15.75" customHeight="1" x14ac:dyDescent="0.25">
      <c r="A298" s="103">
        <v>46202</v>
      </c>
      <c r="B298" s="21" t="s">
        <v>4</v>
      </c>
      <c r="C298" s="18">
        <v>789</v>
      </c>
      <c r="D298" s="12">
        <v>305700</v>
      </c>
      <c r="E298" s="12">
        <v>90100</v>
      </c>
      <c r="F298" s="12">
        <v>28500</v>
      </c>
      <c r="G298" s="12">
        <v>91000</v>
      </c>
      <c r="H298" s="19">
        <f t="shared" si="45"/>
        <v>209600</v>
      </c>
      <c r="I298" s="9">
        <f t="shared" si="50"/>
        <v>515300</v>
      </c>
      <c r="J298" s="12">
        <v>0</v>
      </c>
      <c r="K298" s="12">
        <v>0</v>
      </c>
      <c r="L298" s="12">
        <v>22000</v>
      </c>
      <c r="M298" s="20">
        <f t="shared" si="52"/>
        <v>209600</v>
      </c>
      <c r="N298" s="13">
        <f t="shared" si="51"/>
        <v>305700</v>
      </c>
      <c r="O298" s="12">
        <v>305700</v>
      </c>
      <c r="P298" s="10">
        <f t="shared" si="53"/>
        <v>0</v>
      </c>
    </row>
    <row r="299" spans="1:16" s="14" customFormat="1" ht="15.75" customHeight="1" x14ac:dyDescent="0.25">
      <c r="A299" s="17">
        <v>46203</v>
      </c>
      <c r="B299" s="17" t="s">
        <v>5</v>
      </c>
      <c r="C299" s="18">
        <v>790</v>
      </c>
      <c r="D299" s="12">
        <v>225600</v>
      </c>
      <c r="E299" s="12">
        <v>63000</v>
      </c>
      <c r="F299" s="12">
        <v>27000</v>
      </c>
      <c r="G299" s="12">
        <v>22000</v>
      </c>
      <c r="H299" s="19">
        <f t="shared" si="45"/>
        <v>112000</v>
      </c>
      <c r="I299" s="9">
        <f t="shared" si="50"/>
        <v>337600</v>
      </c>
      <c r="J299" s="12">
        <v>0</v>
      </c>
      <c r="K299" s="12">
        <v>0</v>
      </c>
      <c r="L299" s="12">
        <v>0</v>
      </c>
      <c r="M299" s="20">
        <f t="shared" si="52"/>
        <v>112000</v>
      </c>
      <c r="N299" s="13">
        <f t="shared" si="51"/>
        <v>225600</v>
      </c>
      <c r="O299" s="12">
        <v>225600</v>
      </c>
      <c r="P299" s="10">
        <f t="shared" si="53"/>
        <v>0</v>
      </c>
    </row>
    <row r="300" spans="1:16" s="14" customFormat="1" ht="15.75" customHeight="1" x14ac:dyDescent="0.25">
      <c r="A300" s="17">
        <v>46203</v>
      </c>
      <c r="B300" s="17" t="s">
        <v>4</v>
      </c>
      <c r="C300" s="18">
        <v>791</v>
      </c>
      <c r="D300" s="12">
        <v>322000</v>
      </c>
      <c r="E300" s="12">
        <v>101300</v>
      </c>
      <c r="F300" s="12">
        <v>0</v>
      </c>
      <c r="G300" s="12">
        <v>307500</v>
      </c>
      <c r="H300" s="19">
        <f t="shared" si="45"/>
        <v>408800</v>
      </c>
      <c r="I300" s="9">
        <f t="shared" si="50"/>
        <v>730800</v>
      </c>
      <c r="J300" s="12">
        <v>0</v>
      </c>
      <c r="K300" s="12">
        <v>5000</v>
      </c>
      <c r="L300" s="12">
        <f>150000+150000+50000+50000</f>
        <v>400000</v>
      </c>
      <c r="M300" s="20">
        <f t="shared" si="52"/>
        <v>408800</v>
      </c>
      <c r="N300" s="13">
        <f t="shared" si="51"/>
        <v>317000</v>
      </c>
      <c r="O300" s="12">
        <v>317000</v>
      </c>
      <c r="P300" s="10">
        <f t="shared" si="53"/>
        <v>0</v>
      </c>
    </row>
    <row r="301" spans="1:16" s="14" customFormat="1" ht="15.75" customHeight="1" x14ac:dyDescent="0.25">
      <c r="A301" s="17">
        <v>46204</v>
      </c>
      <c r="B301" s="17" t="s">
        <v>5</v>
      </c>
      <c r="C301" s="18">
        <v>792</v>
      </c>
      <c r="D301" s="12">
        <v>331100</v>
      </c>
      <c r="E301" s="12">
        <v>68500</v>
      </c>
      <c r="F301" s="12">
        <v>23000</v>
      </c>
      <c r="G301" s="12">
        <v>293000</v>
      </c>
      <c r="H301" s="19">
        <f t="shared" si="45"/>
        <v>384500</v>
      </c>
      <c r="I301" s="9">
        <f t="shared" si="50"/>
        <v>715600</v>
      </c>
      <c r="J301" s="12">
        <v>0</v>
      </c>
      <c r="K301" s="12">
        <v>0</v>
      </c>
      <c r="L301" s="12">
        <v>192500</v>
      </c>
      <c r="M301" s="20">
        <f t="shared" si="52"/>
        <v>384500</v>
      </c>
      <c r="N301" s="13">
        <f t="shared" si="51"/>
        <v>331100</v>
      </c>
      <c r="O301" s="12">
        <v>331100</v>
      </c>
      <c r="P301" s="10">
        <f t="shared" si="53"/>
        <v>0</v>
      </c>
    </row>
    <row r="302" spans="1:16" s="14" customFormat="1" ht="15.75" customHeight="1" x14ac:dyDescent="0.25">
      <c r="A302" s="17">
        <v>46204</v>
      </c>
      <c r="B302" s="17" t="s">
        <v>4</v>
      </c>
      <c r="C302" s="18">
        <v>793</v>
      </c>
      <c r="D302" s="12">
        <v>247000</v>
      </c>
      <c r="E302" s="12">
        <v>338300</v>
      </c>
      <c r="F302" s="12">
        <v>203700</v>
      </c>
      <c r="G302" s="12">
        <v>35000</v>
      </c>
      <c r="H302" s="19">
        <f t="shared" si="45"/>
        <v>577000</v>
      </c>
      <c r="I302" s="9">
        <f t="shared" si="50"/>
        <v>824000</v>
      </c>
      <c r="J302" s="12">
        <v>3428113</v>
      </c>
      <c r="K302" s="12">
        <v>20000</v>
      </c>
      <c r="L302" s="12">
        <v>2236900</v>
      </c>
      <c r="M302" s="20">
        <f t="shared" si="52"/>
        <v>-2851113</v>
      </c>
      <c r="N302" s="13">
        <f t="shared" si="51"/>
        <v>227000</v>
      </c>
      <c r="O302" s="12">
        <v>245100</v>
      </c>
      <c r="P302" s="10">
        <f t="shared" si="53"/>
        <v>18100</v>
      </c>
    </row>
    <row r="303" spans="1:16" s="14" customFormat="1" ht="15.75" customHeight="1" x14ac:dyDescent="0.25">
      <c r="A303" s="17">
        <v>46205</v>
      </c>
      <c r="B303" s="17" t="s">
        <v>5</v>
      </c>
      <c r="C303" s="18">
        <v>794</v>
      </c>
      <c r="D303" s="12">
        <v>416300</v>
      </c>
      <c r="E303" s="12">
        <v>599000</v>
      </c>
      <c r="F303" s="12">
        <v>0</v>
      </c>
      <c r="G303" s="12">
        <v>70000</v>
      </c>
      <c r="H303" s="19">
        <f t="shared" si="45"/>
        <v>669000</v>
      </c>
      <c r="I303" s="9">
        <f t="shared" si="50"/>
        <v>1085300</v>
      </c>
      <c r="J303" s="12">
        <v>0</v>
      </c>
      <c r="K303" s="12">
        <v>0</v>
      </c>
      <c r="L303" s="12">
        <v>0</v>
      </c>
      <c r="M303" s="20">
        <f t="shared" si="52"/>
        <v>669000</v>
      </c>
      <c r="N303" s="13">
        <f t="shared" si="51"/>
        <v>416300</v>
      </c>
      <c r="O303" s="12">
        <v>416300</v>
      </c>
      <c r="P303" s="10">
        <f t="shared" si="53"/>
        <v>0</v>
      </c>
    </row>
    <row r="304" spans="1:16" s="14" customFormat="1" ht="15.75" customHeight="1" x14ac:dyDescent="0.25">
      <c r="A304" s="17">
        <v>46205</v>
      </c>
      <c r="B304" s="17" t="s">
        <v>4</v>
      </c>
      <c r="C304" s="18">
        <v>795</v>
      </c>
      <c r="D304" s="12">
        <v>306400</v>
      </c>
      <c r="E304" s="12">
        <v>73800</v>
      </c>
      <c r="F304" s="12">
        <v>0</v>
      </c>
      <c r="G304" s="12">
        <v>117500</v>
      </c>
      <c r="H304" s="19">
        <f t="shared" si="45"/>
        <v>191300</v>
      </c>
      <c r="I304" s="9">
        <f>D304+H304</f>
        <v>497700</v>
      </c>
      <c r="J304" s="12">
        <v>0</v>
      </c>
      <c r="K304" s="12">
        <v>0</v>
      </c>
      <c r="L304" s="12">
        <v>452160</v>
      </c>
      <c r="M304" s="20">
        <f>H304-J304</f>
        <v>191300</v>
      </c>
      <c r="N304" s="13">
        <f t="shared" si="51"/>
        <v>306400</v>
      </c>
      <c r="O304" s="12">
        <v>306400</v>
      </c>
      <c r="P304" s="10">
        <f t="shared" si="53"/>
        <v>0</v>
      </c>
    </row>
    <row r="305" spans="1:16" s="14" customFormat="1" ht="15.75" customHeight="1" x14ac:dyDescent="0.25">
      <c r="A305" s="17">
        <v>46206</v>
      </c>
      <c r="B305" s="17" t="s">
        <v>173</v>
      </c>
      <c r="C305" s="18">
        <v>796</v>
      </c>
      <c r="D305" s="12">
        <v>358128</v>
      </c>
      <c r="E305" s="12">
        <v>131500</v>
      </c>
      <c r="F305" s="12">
        <v>188000</v>
      </c>
      <c r="G305" s="12">
        <v>416000</v>
      </c>
      <c r="H305" s="19">
        <f t="shared" si="45"/>
        <v>735500</v>
      </c>
      <c r="I305" s="9">
        <f>D305+H305</f>
        <v>1093628</v>
      </c>
      <c r="J305" s="12">
        <v>0</v>
      </c>
      <c r="K305" s="12">
        <v>124756</v>
      </c>
      <c r="L305" s="12">
        <v>0</v>
      </c>
      <c r="M305" s="20">
        <f>H305-J305</f>
        <v>735500</v>
      </c>
      <c r="N305" s="13">
        <f t="shared" si="51"/>
        <v>233372</v>
      </c>
      <c r="O305" s="12">
        <v>233500</v>
      </c>
      <c r="P305" s="10">
        <f t="shared" si="53"/>
        <v>128</v>
      </c>
    </row>
    <row r="306" spans="1:16" s="14" customFormat="1" ht="15.75" customHeight="1" x14ac:dyDescent="0.25">
      <c r="A306" s="17">
        <v>46206</v>
      </c>
      <c r="B306" s="17" t="s">
        <v>4</v>
      </c>
      <c r="C306" s="18">
        <v>797</v>
      </c>
      <c r="D306" s="12">
        <v>412900</v>
      </c>
      <c r="E306" s="12">
        <v>806000</v>
      </c>
      <c r="F306" s="12">
        <v>112900</v>
      </c>
      <c r="G306" s="12">
        <v>267100</v>
      </c>
      <c r="H306" s="19">
        <f t="shared" si="45"/>
        <v>1186000</v>
      </c>
      <c r="I306" s="9">
        <f t="shared" ref="I306:I423" si="61">D306+H306</f>
        <v>1598900</v>
      </c>
      <c r="J306" s="12">
        <v>0</v>
      </c>
      <c r="K306" s="12">
        <v>8000</v>
      </c>
      <c r="L306" s="12">
        <v>0</v>
      </c>
      <c r="M306" s="20">
        <f t="shared" ref="M306:M423" si="62">H306-J306</f>
        <v>1186000</v>
      </c>
      <c r="N306" s="13">
        <f t="shared" si="51"/>
        <v>404900</v>
      </c>
      <c r="O306" s="12">
        <v>404900</v>
      </c>
      <c r="P306" s="10">
        <f t="shared" si="53"/>
        <v>0</v>
      </c>
    </row>
    <row r="307" spans="1:16" s="14" customFormat="1" ht="15.75" customHeight="1" x14ac:dyDescent="0.25">
      <c r="A307" s="17">
        <v>46207</v>
      </c>
      <c r="B307" s="21" t="s">
        <v>173</v>
      </c>
      <c r="C307" s="18">
        <v>798</v>
      </c>
      <c r="D307" s="12">
        <v>523400</v>
      </c>
      <c r="E307" s="12">
        <v>458500</v>
      </c>
      <c r="F307" s="12">
        <v>94600</v>
      </c>
      <c r="G307" s="12">
        <v>127000</v>
      </c>
      <c r="H307" s="19">
        <f t="shared" si="45"/>
        <v>680100</v>
      </c>
      <c r="I307" s="9">
        <f t="shared" si="61"/>
        <v>1203500</v>
      </c>
      <c r="J307" s="12">
        <v>0</v>
      </c>
      <c r="K307" s="12">
        <v>0</v>
      </c>
      <c r="L307" s="12">
        <v>0</v>
      </c>
      <c r="M307" s="20">
        <f t="shared" si="62"/>
        <v>680100</v>
      </c>
      <c r="N307" s="13">
        <f t="shared" si="51"/>
        <v>523400</v>
      </c>
      <c r="O307" s="12">
        <v>523400</v>
      </c>
      <c r="P307" s="10">
        <f t="shared" si="53"/>
        <v>0</v>
      </c>
    </row>
    <row r="308" spans="1:16" s="14" customFormat="1" ht="15.75" customHeight="1" x14ac:dyDescent="0.25">
      <c r="A308" s="17">
        <v>46208</v>
      </c>
      <c r="B308" s="17" t="s">
        <v>4</v>
      </c>
      <c r="C308" s="18">
        <v>799</v>
      </c>
      <c r="D308" s="12">
        <v>597700</v>
      </c>
      <c r="E308" s="12">
        <v>61100</v>
      </c>
      <c r="F308" s="12">
        <v>438000</v>
      </c>
      <c r="G308" s="12">
        <v>118500</v>
      </c>
      <c r="H308" s="19">
        <f t="shared" si="45"/>
        <v>617600</v>
      </c>
      <c r="I308" s="9">
        <f t="shared" si="61"/>
        <v>1215300</v>
      </c>
      <c r="J308" s="12">
        <v>5040800</v>
      </c>
      <c r="K308" s="12">
        <v>0</v>
      </c>
      <c r="L308" s="12">
        <v>1788654</v>
      </c>
      <c r="M308" s="20">
        <f t="shared" si="62"/>
        <v>-4423200</v>
      </c>
      <c r="N308" s="13">
        <f t="shared" si="51"/>
        <v>597700</v>
      </c>
      <c r="O308" s="12">
        <v>597700</v>
      </c>
      <c r="P308" s="10">
        <f t="shared" si="53"/>
        <v>0</v>
      </c>
    </row>
    <row r="309" spans="1:16" s="14" customFormat="1" ht="15.75" customHeight="1" x14ac:dyDescent="0.25">
      <c r="A309" s="17">
        <v>46209</v>
      </c>
      <c r="B309" s="17" t="s">
        <v>4</v>
      </c>
      <c r="C309" s="18">
        <v>800</v>
      </c>
      <c r="D309" s="12">
        <v>584100</v>
      </c>
      <c r="E309" s="12">
        <v>88500</v>
      </c>
      <c r="F309" s="12">
        <v>0</v>
      </c>
      <c r="G309" s="12">
        <v>0</v>
      </c>
      <c r="H309" s="19">
        <f t="shared" si="45"/>
        <v>88500</v>
      </c>
      <c r="I309" s="9">
        <f t="shared" si="61"/>
        <v>672600</v>
      </c>
      <c r="J309" s="12">
        <v>0</v>
      </c>
      <c r="K309" s="12">
        <v>0</v>
      </c>
      <c r="L309" s="12">
        <v>0</v>
      </c>
      <c r="M309" s="20">
        <f t="shared" si="62"/>
        <v>88500</v>
      </c>
      <c r="N309" s="13">
        <f t="shared" si="51"/>
        <v>584100</v>
      </c>
      <c r="O309" s="12">
        <v>584100</v>
      </c>
      <c r="P309" s="10">
        <f t="shared" si="53"/>
        <v>0</v>
      </c>
    </row>
    <row r="310" spans="1:16" s="14" customFormat="1" ht="15.75" customHeight="1" x14ac:dyDescent="0.25">
      <c r="A310" s="17">
        <v>46209</v>
      </c>
      <c r="B310" s="17" t="s">
        <v>5</v>
      </c>
      <c r="C310" s="18">
        <v>801</v>
      </c>
      <c r="D310" s="12">
        <v>491600</v>
      </c>
      <c r="E310" s="12">
        <v>276500</v>
      </c>
      <c r="F310" s="12">
        <v>33000</v>
      </c>
      <c r="G310" s="12">
        <v>136500</v>
      </c>
      <c r="H310" s="19">
        <f t="shared" si="45"/>
        <v>446000</v>
      </c>
      <c r="I310" s="9">
        <f t="shared" si="61"/>
        <v>937600</v>
      </c>
      <c r="J310" s="12">
        <v>0</v>
      </c>
      <c r="K310" s="12">
        <v>0</v>
      </c>
      <c r="L310" s="12">
        <v>0</v>
      </c>
      <c r="M310" s="20">
        <f t="shared" si="62"/>
        <v>446000</v>
      </c>
      <c r="N310" s="13">
        <f t="shared" si="51"/>
        <v>491600</v>
      </c>
      <c r="O310" s="12">
        <v>491600</v>
      </c>
      <c r="P310" s="10">
        <f t="shared" si="53"/>
        <v>0</v>
      </c>
    </row>
    <row r="311" spans="1:16" s="14" customFormat="1" ht="15.75" customHeight="1" x14ac:dyDescent="0.25">
      <c r="A311" s="17">
        <v>46210</v>
      </c>
      <c r="B311" s="21" t="s">
        <v>4</v>
      </c>
      <c r="C311" s="18">
        <v>802</v>
      </c>
      <c r="D311" s="12">
        <v>173200</v>
      </c>
      <c r="E311" s="12">
        <v>27000</v>
      </c>
      <c r="F311" s="12">
        <v>45000</v>
      </c>
      <c r="G311" s="12">
        <v>90000</v>
      </c>
      <c r="H311" s="19">
        <f t="shared" si="45"/>
        <v>162000</v>
      </c>
      <c r="I311" s="9">
        <f t="shared" si="61"/>
        <v>335200</v>
      </c>
      <c r="J311" s="12">
        <v>0</v>
      </c>
      <c r="K311" s="12">
        <v>0</v>
      </c>
      <c r="L311" s="12">
        <f>4000+20000+5000+147100+187300</f>
        <v>363400</v>
      </c>
      <c r="M311" s="20">
        <f t="shared" si="62"/>
        <v>162000</v>
      </c>
      <c r="N311" s="13">
        <f t="shared" si="51"/>
        <v>173200</v>
      </c>
      <c r="O311" s="12">
        <v>173200</v>
      </c>
      <c r="P311" s="10">
        <f t="shared" si="53"/>
        <v>0</v>
      </c>
    </row>
    <row r="312" spans="1:16" s="14" customFormat="1" ht="15.75" customHeight="1" x14ac:dyDescent="0.25">
      <c r="A312" s="17">
        <v>46210</v>
      </c>
      <c r="B312" s="17" t="s">
        <v>5</v>
      </c>
      <c r="C312" s="18">
        <v>803</v>
      </c>
      <c r="D312" s="12">
        <v>336600</v>
      </c>
      <c r="E312" s="12">
        <v>113300</v>
      </c>
      <c r="F312" s="12">
        <v>20000</v>
      </c>
      <c r="G312" s="12">
        <v>66000</v>
      </c>
      <c r="H312" s="19">
        <f t="shared" si="45"/>
        <v>199300</v>
      </c>
      <c r="I312" s="9">
        <f t="shared" si="61"/>
        <v>535900</v>
      </c>
      <c r="J312" s="12">
        <v>0</v>
      </c>
      <c r="K312" s="12">
        <v>0</v>
      </c>
      <c r="L312" s="12">
        <v>0</v>
      </c>
      <c r="M312" s="20">
        <f t="shared" si="62"/>
        <v>199300</v>
      </c>
      <c r="N312" s="13">
        <f t="shared" si="51"/>
        <v>336600</v>
      </c>
      <c r="O312" s="12">
        <v>336600</v>
      </c>
      <c r="P312" s="10">
        <f t="shared" si="53"/>
        <v>0</v>
      </c>
    </row>
    <row r="313" spans="1:16" s="14" customFormat="1" ht="15.75" customHeight="1" x14ac:dyDescent="0.25">
      <c r="A313" s="17">
        <v>46211</v>
      </c>
      <c r="B313" s="17" t="s">
        <v>4</v>
      </c>
      <c r="C313" s="18">
        <v>804</v>
      </c>
      <c r="D313" s="12">
        <v>254100</v>
      </c>
      <c r="E313" s="12">
        <v>38500</v>
      </c>
      <c r="F313" s="12">
        <v>0</v>
      </c>
      <c r="G313" s="12">
        <v>62500</v>
      </c>
      <c r="H313" s="19">
        <f t="shared" si="45"/>
        <v>101000</v>
      </c>
      <c r="I313" s="9">
        <f t="shared" si="61"/>
        <v>355100</v>
      </c>
      <c r="J313" s="12">
        <v>0</v>
      </c>
      <c r="K313" s="12">
        <v>164398</v>
      </c>
      <c r="L313" s="12">
        <v>0</v>
      </c>
      <c r="M313" s="20">
        <f t="shared" si="62"/>
        <v>101000</v>
      </c>
      <c r="N313" s="13">
        <f t="shared" si="51"/>
        <v>89702</v>
      </c>
      <c r="O313" s="12">
        <v>89800</v>
      </c>
      <c r="P313" s="10">
        <f t="shared" si="53"/>
        <v>98</v>
      </c>
    </row>
    <row r="314" spans="1:16" s="14" customFormat="1" ht="15.75" customHeight="1" x14ac:dyDescent="0.25">
      <c r="A314" s="17">
        <v>46211</v>
      </c>
      <c r="B314" s="17" t="s">
        <v>173</v>
      </c>
      <c r="C314" s="18">
        <v>805</v>
      </c>
      <c r="D314" s="12">
        <v>349100</v>
      </c>
      <c r="E314" s="12">
        <v>161000</v>
      </c>
      <c r="F314" s="12">
        <v>0</v>
      </c>
      <c r="G314" s="12">
        <v>71600</v>
      </c>
      <c r="H314" s="19">
        <f t="shared" si="45"/>
        <v>232600</v>
      </c>
      <c r="I314" s="9">
        <f t="shared" si="61"/>
        <v>581700</v>
      </c>
      <c r="J314" s="12">
        <v>0</v>
      </c>
      <c r="K314" s="12">
        <v>0</v>
      </c>
      <c r="L314" s="12">
        <v>0</v>
      </c>
      <c r="M314" s="20">
        <f t="shared" si="62"/>
        <v>232600</v>
      </c>
      <c r="N314" s="13">
        <f t="shared" si="51"/>
        <v>349100</v>
      </c>
      <c r="O314" s="12">
        <v>349100</v>
      </c>
      <c r="P314" s="10">
        <f t="shared" si="53"/>
        <v>0</v>
      </c>
    </row>
    <row r="315" spans="1:16" s="14" customFormat="1" ht="15.75" customHeight="1" x14ac:dyDescent="0.25">
      <c r="A315" s="17">
        <v>46212</v>
      </c>
      <c r="B315" s="17" t="s">
        <v>4</v>
      </c>
      <c r="C315" s="18">
        <v>806</v>
      </c>
      <c r="D315" s="12">
        <v>433200</v>
      </c>
      <c r="E315" s="12">
        <v>190500</v>
      </c>
      <c r="F315" s="12">
        <v>56000</v>
      </c>
      <c r="G315" s="12">
        <v>120800</v>
      </c>
      <c r="H315" s="19">
        <f t="shared" si="45"/>
        <v>367300</v>
      </c>
      <c r="I315" s="9">
        <f t="shared" si="61"/>
        <v>800500</v>
      </c>
      <c r="J315" s="12">
        <v>100000</v>
      </c>
      <c r="K315" s="12">
        <v>0</v>
      </c>
      <c r="L315" s="12">
        <v>2000940</v>
      </c>
      <c r="M315" s="20">
        <f t="shared" si="62"/>
        <v>267300</v>
      </c>
      <c r="N315" s="13">
        <f t="shared" si="51"/>
        <v>433200</v>
      </c>
      <c r="O315" s="12">
        <v>433200</v>
      </c>
      <c r="P315" s="10">
        <f t="shared" si="53"/>
        <v>0</v>
      </c>
    </row>
    <row r="316" spans="1:16" s="14" customFormat="1" ht="15.75" customHeight="1" x14ac:dyDescent="0.25">
      <c r="A316" s="17">
        <v>46212</v>
      </c>
      <c r="B316" s="17" t="s">
        <v>5</v>
      </c>
      <c r="C316" s="18">
        <v>807</v>
      </c>
      <c r="D316" s="12">
        <v>465900</v>
      </c>
      <c r="E316" s="12">
        <v>148600</v>
      </c>
      <c r="F316" s="12">
        <v>45000</v>
      </c>
      <c r="G316" s="12">
        <v>100000</v>
      </c>
      <c r="H316" s="19">
        <f t="shared" si="45"/>
        <v>293600</v>
      </c>
      <c r="I316" s="9">
        <f t="shared" si="61"/>
        <v>759500</v>
      </c>
      <c r="J316" s="12">
        <v>207550</v>
      </c>
      <c r="K316" s="12">
        <v>0</v>
      </c>
      <c r="L316" s="12">
        <v>0</v>
      </c>
      <c r="M316" s="20">
        <f t="shared" si="62"/>
        <v>86050</v>
      </c>
      <c r="N316" s="13">
        <f t="shared" si="51"/>
        <v>465900</v>
      </c>
      <c r="O316" s="12">
        <v>465900</v>
      </c>
      <c r="P316" s="10">
        <f t="shared" si="53"/>
        <v>0</v>
      </c>
    </row>
    <row r="317" spans="1:16" s="14" customFormat="1" ht="14.25" customHeight="1" x14ac:dyDescent="0.25">
      <c r="A317" s="17">
        <v>46213</v>
      </c>
      <c r="B317" s="17" t="s">
        <v>4</v>
      </c>
      <c r="C317" s="18">
        <v>808</v>
      </c>
      <c r="D317" s="12">
        <v>299100</v>
      </c>
      <c r="E317" s="12">
        <v>123800</v>
      </c>
      <c r="F317" s="12">
        <v>0</v>
      </c>
      <c r="G317" s="12">
        <v>331000</v>
      </c>
      <c r="H317" s="19">
        <f t="shared" si="45"/>
        <v>454800</v>
      </c>
      <c r="I317" s="9">
        <f t="shared" si="61"/>
        <v>753900</v>
      </c>
      <c r="J317" s="12">
        <v>0</v>
      </c>
      <c r="K317" s="12">
        <v>0</v>
      </c>
      <c r="L317" s="12">
        <f>1067550+110000+75800</f>
        <v>1253350</v>
      </c>
      <c r="M317" s="20">
        <f t="shared" si="62"/>
        <v>454800</v>
      </c>
      <c r="N317" s="13">
        <f t="shared" si="51"/>
        <v>299100</v>
      </c>
      <c r="O317" s="12">
        <v>299100</v>
      </c>
      <c r="P317" s="10">
        <f t="shared" si="53"/>
        <v>0</v>
      </c>
    </row>
    <row r="318" spans="1:16" s="14" customFormat="1" ht="15.75" customHeight="1" x14ac:dyDescent="0.25">
      <c r="A318" s="17">
        <v>46213</v>
      </c>
      <c r="B318" s="21" t="s">
        <v>5</v>
      </c>
      <c r="C318" s="18">
        <v>809</v>
      </c>
      <c r="D318" s="12">
        <v>451200</v>
      </c>
      <c r="E318" s="12">
        <v>36000</v>
      </c>
      <c r="F318" s="12">
        <v>0</v>
      </c>
      <c r="G318" s="12">
        <v>164000</v>
      </c>
      <c r="H318" s="19">
        <f t="shared" si="45"/>
        <v>200000</v>
      </c>
      <c r="I318" s="9">
        <f t="shared" si="61"/>
        <v>651200</v>
      </c>
      <c r="J318" s="12">
        <v>0</v>
      </c>
      <c r="K318" s="12">
        <v>51000</v>
      </c>
      <c r="L318" s="12">
        <v>0</v>
      </c>
      <c r="M318" s="20">
        <f t="shared" si="62"/>
        <v>200000</v>
      </c>
      <c r="N318" s="13">
        <f t="shared" si="51"/>
        <v>400200</v>
      </c>
      <c r="O318" s="12">
        <v>400200</v>
      </c>
      <c r="P318" s="10">
        <f t="shared" si="53"/>
        <v>0</v>
      </c>
    </row>
    <row r="319" spans="1:16" s="14" customFormat="1" ht="15.75" customHeight="1" x14ac:dyDescent="0.25">
      <c r="A319" s="17">
        <v>46214</v>
      </c>
      <c r="B319" s="17" t="s">
        <v>4</v>
      </c>
      <c r="C319" s="18">
        <v>810</v>
      </c>
      <c r="D319" s="12">
        <v>580200</v>
      </c>
      <c r="E319" s="12">
        <v>86500</v>
      </c>
      <c r="F319" s="12">
        <v>0</v>
      </c>
      <c r="G319" s="12">
        <v>198300</v>
      </c>
      <c r="H319" s="19">
        <f t="shared" si="45"/>
        <v>284800</v>
      </c>
      <c r="I319" s="9">
        <f t="shared" si="61"/>
        <v>865000</v>
      </c>
      <c r="J319" s="12">
        <v>0</v>
      </c>
      <c r="K319" s="12">
        <v>0</v>
      </c>
      <c r="L319" s="12">
        <v>20000</v>
      </c>
      <c r="M319" s="20">
        <f t="shared" si="62"/>
        <v>284800</v>
      </c>
      <c r="N319" s="13">
        <f t="shared" si="51"/>
        <v>580200</v>
      </c>
      <c r="O319" s="12">
        <v>580300</v>
      </c>
      <c r="P319" s="10">
        <f t="shared" si="53"/>
        <v>100</v>
      </c>
    </row>
    <row r="320" spans="1:16" s="14" customFormat="1" ht="15.75" customHeight="1" x14ac:dyDescent="0.25">
      <c r="A320" s="17">
        <v>46215</v>
      </c>
      <c r="B320" s="17" t="s">
        <v>5</v>
      </c>
      <c r="C320" s="18">
        <v>811</v>
      </c>
      <c r="D320" s="12">
        <v>337800</v>
      </c>
      <c r="E320" s="12">
        <v>129500</v>
      </c>
      <c r="F320" s="12">
        <v>43000</v>
      </c>
      <c r="G320" s="12">
        <v>43300</v>
      </c>
      <c r="H320" s="19">
        <f t="shared" si="45"/>
        <v>215800</v>
      </c>
      <c r="I320" s="9">
        <f t="shared" si="61"/>
        <v>553600</v>
      </c>
      <c r="J320" s="12">
        <v>0</v>
      </c>
      <c r="K320" s="12">
        <v>0</v>
      </c>
      <c r="L320" s="12">
        <v>0</v>
      </c>
      <c r="M320" s="20">
        <f t="shared" si="62"/>
        <v>215800</v>
      </c>
      <c r="N320" s="13">
        <f t="shared" si="51"/>
        <v>337800</v>
      </c>
      <c r="O320" s="12">
        <v>337800</v>
      </c>
      <c r="P320" s="10">
        <f t="shared" si="53"/>
        <v>0</v>
      </c>
    </row>
    <row r="321" spans="1:16" s="14" customFormat="1" ht="15.75" customHeight="1" x14ac:dyDescent="0.25">
      <c r="A321" s="17">
        <v>46216</v>
      </c>
      <c r="B321" s="21" t="s">
        <v>5</v>
      </c>
      <c r="C321" s="18">
        <v>812</v>
      </c>
      <c r="D321" s="12">
        <v>264700</v>
      </c>
      <c r="E321" s="12">
        <v>39500</v>
      </c>
      <c r="F321" s="12">
        <v>0</v>
      </c>
      <c r="G321" s="12">
        <v>61000</v>
      </c>
      <c r="H321" s="19">
        <f t="shared" si="45"/>
        <v>100500</v>
      </c>
      <c r="I321" s="9">
        <f t="shared" si="61"/>
        <v>365200</v>
      </c>
      <c r="J321" s="12">
        <v>0</v>
      </c>
      <c r="K321" s="12">
        <v>30000</v>
      </c>
      <c r="L321" s="12">
        <v>0</v>
      </c>
      <c r="M321" s="20">
        <f t="shared" si="62"/>
        <v>100500</v>
      </c>
      <c r="N321" s="13">
        <f t="shared" si="51"/>
        <v>234700</v>
      </c>
      <c r="O321" s="12">
        <v>234700</v>
      </c>
      <c r="P321" s="10">
        <f t="shared" si="53"/>
        <v>0</v>
      </c>
    </row>
    <row r="322" spans="1:16" s="14" customFormat="1" ht="15.75" customHeight="1" x14ac:dyDescent="0.25">
      <c r="A322" s="17">
        <v>46216</v>
      </c>
      <c r="B322" s="17" t="s">
        <v>4</v>
      </c>
      <c r="C322" s="18">
        <v>813</v>
      </c>
      <c r="D322" s="12">
        <v>244100</v>
      </c>
      <c r="E322" s="12">
        <v>82500</v>
      </c>
      <c r="F322" s="12">
        <v>0</v>
      </c>
      <c r="G322" s="12">
        <v>57500</v>
      </c>
      <c r="H322" s="19">
        <f t="shared" si="45"/>
        <v>140000</v>
      </c>
      <c r="I322" s="9">
        <f t="shared" si="61"/>
        <v>384100</v>
      </c>
      <c r="J322" s="12">
        <v>292000</v>
      </c>
      <c r="K322" s="12">
        <v>0</v>
      </c>
      <c r="L322" s="12">
        <v>0</v>
      </c>
      <c r="M322" s="20">
        <f t="shared" si="62"/>
        <v>-152000</v>
      </c>
      <c r="N322" s="13">
        <f t="shared" si="51"/>
        <v>244100</v>
      </c>
      <c r="O322" s="12">
        <v>244100</v>
      </c>
      <c r="P322" s="10">
        <f t="shared" si="53"/>
        <v>0</v>
      </c>
    </row>
    <row r="323" spans="1:16" s="14" customFormat="1" ht="15.75" customHeight="1" x14ac:dyDescent="0.25">
      <c r="A323" s="17">
        <v>46217</v>
      </c>
      <c r="B323" s="21" t="s">
        <v>5</v>
      </c>
      <c r="C323" s="18">
        <v>814</v>
      </c>
      <c r="D323" s="12">
        <v>192100</v>
      </c>
      <c r="E323" s="12">
        <v>36800</v>
      </c>
      <c r="F323" s="12">
        <v>0</v>
      </c>
      <c r="G323" s="12">
        <v>79600</v>
      </c>
      <c r="H323" s="19">
        <f t="shared" si="45"/>
        <v>116400</v>
      </c>
      <c r="I323" s="9">
        <f t="shared" si="61"/>
        <v>308500</v>
      </c>
      <c r="J323" s="12">
        <v>3000000</v>
      </c>
      <c r="K323" s="12">
        <v>0</v>
      </c>
      <c r="L323" s="12">
        <v>1995310</v>
      </c>
      <c r="M323" s="20">
        <f t="shared" si="62"/>
        <v>-2883600</v>
      </c>
      <c r="N323" s="13">
        <f t="shared" si="51"/>
        <v>192100</v>
      </c>
      <c r="O323" s="12">
        <v>192100</v>
      </c>
      <c r="P323" s="10">
        <f t="shared" si="53"/>
        <v>0</v>
      </c>
    </row>
    <row r="324" spans="1:16" s="14" customFormat="1" ht="15.75" customHeight="1" x14ac:dyDescent="0.25">
      <c r="A324" s="17">
        <v>46217</v>
      </c>
      <c r="B324" s="17" t="s">
        <v>4</v>
      </c>
      <c r="C324" s="18">
        <v>815</v>
      </c>
      <c r="D324" s="12">
        <v>309200</v>
      </c>
      <c r="E324" s="12">
        <v>271500</v>
      </c>
      <c r="F324" s="12">
        <v>0</v>
      </c>
      <c r="G324" s="12">
        <v>138600</v>
      </c>
      <c r="H324" s="19">
        <f t="shared" si="45"/>
        <v>410100</v>
      </c>
      <c r="I324" s="9">
        <f t="shared" si="61"/>
        <v>719300</v>
      </c>
      <c r="J324" s="12">
        <v>0</v>
      </c>
      <c r="K324" s="12">
        <v>0</v>
      </c>
      <c r="L324" s="12">
        <v>0</v>
      </c>
      <c r="M324" s="20">
        <f t="shared" si="62"/>
        <v>410100</v>
      </c>
      <c r="N324" s="13">
        <f t="shared" si="51"/>
        <v>309200</v>
      </c>
      <c r="O324" s="12">
        <v>309200</v>
      </c>
      <c r="P324" s="10">
        <f t="shared" si="53"/>
        <v>0</v>
      </c>
    </row>
    <row r="325" spans="1:16" s="14" customFormat="1" ht="15.75" customHeight="1" x14ac:dyDescent="0.25">
      <c r="A325" s="17">
        <v>46218</v>
      </c>
      <c r="B325" s="17" t="s">
        <v>5</v>
      </c>
      <c r="C325" s="18">
        <v>816</v>
      </c>
      <c r="D325" s="12">
        <v>269200</v>
      </c>
      <c r="E325" s="12">
        <v>50000</v>
      </c>
      <c r="F325" s="12">
        <v>0</v>
      </c>
      <c r="G325" s="12">
        <v>64400</v>
      </c>
      <c r="H325" s="19">
        <f t="shared" si="45"/>
        <v>114400</v>
      </c>
      <c r="I325" s="9">
        <f t="shared" si="61"/>
        <v>383600</v>
      </c>
      <c r="J325" s="12">
        <v>0</v>
      </c>
      <c r="K325" s="12">
        <v>20000</v>
      </c>
      <c r="L325" s="12">
        <v>0</v>
      </c>
      <c r="M325" s="20">
        <f t="shared" si="62"/>
        <v>114400</v>
      </c>
      <c r="N325" s="13">
        <f t="shared" si="51"/>
        <v>249200</v>
      </c>
      <c r="O325" s="12">
        <v>249200</v>
      </c>
      <c r="P325" s="10">
        <f t="shared" si="53"/>
        <v>0</v>
      </c>
    </row>
    <row r="326" spans="1:16" s="14" customFormat="1" ht="15.75" customHeight="1" x14ac:dyDescent="0.25">
      <c r="A326" s="17">
        <v>46218</v>
      </c>
      <c r="B326" s="17" t="s">
        <v>4</v>
      </c>
      <c r="C326" s="18">
        <v>817</v>
      </c>
      <c r="D326" s="12">
        <v>274500</v>
      </c>
      <c r="E326" s="12">
        <v>50000</v>
      </c>
      <c r="F326" s="12">
        <v>116000</v>
      </c>
      <c r="G326" s="12">
        <v>535000</v>
      </c>
      <c r="H326" s="19">
        <f t="shared" si="45"/>
        <v>701000</v>
      </c>
      <c r="I326" s="9">
        <f t="shared" si="61"/>
        <v>975500</v>
      </c>
      <c r="J326" s="12">
        <v>0</v>
      </c>
      <c r="K326" s="12">
        <v>9000</v>
      </c>
      <c r="L326" s="12">
        <f>236500+150000+150000+50000+50000</f>
        <v>636500</v>
      </c>
      <c r="M326" s="20">
        <f t="shared" si="62"/>
        <v>701000</v>
      </c>
      <c r="N326" s="13">
        <f>D326-K326</f>
        <v>265500</v>
      </c>
      <c r="O326" s="12">
        <v>265500</v>
      </c>
      <c r="P326" s="10">
        <f t="shared" si="53"/>
        <v>0</v>
      </c>
    </row>
    <row r="327" spans="1:16" s="14" customFormat="1" ht="15.75" customHeight="1" x14ac:dyDescent="0.25">
      <c r="A327" s="17">
        <v>46219</v>
      </c>
      <c r="B327" s="17" t="s">
        <v>5</v>
      </c>
      <c r="C327" s="18">
        <v>818</v>
      </c>
      <c r="D327" s="12">
        <v>140100</v>
      </c>
      <c r="E327" s="12">
        <v>112000</v>
      </c>
      <c r="F327" s="12">
        <v>0</v>
      </c>
      <c r="G327" s="12">
        <v>1057500</v>
      </c>
      <c r="H327" s="19">
        <f t="shared" si="45"/>
        <v>1169500</v>
      </c>
      <c r="I327" s="9">
        <f t="shared" si="61"/>
        <v>1309600</v>
      </c>
      <c r="J327" s="12">
        <v>0</v>
      </c>
      <c r="K327" s="12">
        <v>26500</v>
      </c>
      <c r="L327" s="12">
        <v>0</v>
      </c>
      <c r="M327" s="20">
        <f t="shared" si="62"/>
        <v>1169500</v>
      </c>
      <c r="N327" s="13">
        <v>113600</v>
      </c>
      <c r="O327" s="12">
        <v>113600</v>
      </c>
      <c r="P327" s="10">
        <f t="shared" si="53"/>
        <v>0</v>
      </c>
    </row>
    <row r="328" spans="1:16" s="14" customFormat="1" ht="15.75" customHeight="1" x14ac:dyDescent="0.25">
      <c r="A328" s="17">
        <v>46219</v>
      </c>
      <c r="B328" s="17" t="s">
        <v>4</v>
      </c>
      <c r="C328" s="18">
        <v>819</v>
      </c>
      <c r="D328" s="12">
        <v>284600</v>
      </c>
      <c r="E328" s="12">
        <v>150000</v>
      </c>
      <c r="F328" s="12">
        <v>0</v>
      </c>
      <c r="G328" s="12">
        <v>124700</v>
      </c>
      <c r="H328" s="19">
        <f t="shared" si="45"/>
        <v>274700</v>
      </c>
      <c r="I328" s="9">
        <f t="shared" si="61"/>
        <v>559300</v>
      </c>
      <c r="J328" s="12">
        <v>0</v>
      </c>
      <c r="K328" s="12">
        <v>10000</v>
      </c>
      <c r="L328" s="12">
        <v>0</v>
      </c>
      <c r="M328" s="20">
        <f t="shared" si="62"/>
        <v>274700</v>
      </c>
      <c r="N328" s="13">
        <f t="shared" ref="N328:N409" si="63">D328-K328</f>
        <v>274600</v>
      </c>
      <c r="O328" s="12">
        <v>374600</v>
      </c>
      <c r="P328" s="10">
        <f t="shared" si="53"/>
        <v>100000</v>
      </c>
    </row>
    <row r="329" spans="1:16" s="14" customFormat="1" ht="15.75" customHeight="1" x14ac:dyDescent="0.25">
      <c r="A329" s="17">
        <v>46220</v>
      </c>
      <c r="B329" s="17" t="s">
        <v>5</v>
      </c>
      <c r="C329" s="18">
        <v>820</v>
      </c>
      <c r="D329" s="12">
        <v>265200</v>
      </c>
      <c r="E329" s="12">
        <v>46000</v>
      </c>
      <c r="F329" s="12">
        <v>0</v>
      </c>
      <c r="G329" s="12">
        <v>98000</v>
      </c>
      <c r="H329" s="19">
        <f t="shared" si="45"/>
        <v>144000</v>
      </c>
      <c r="I329" s="9">
        <f t="shared" si="61"/>
        <v>409200</v>
      </c>
      <c r="J329" s="12">
        <v>0</v>
      </c>
      <c r="K329" s="12">
        <v>0</v>
      </c>
      <c r="L329" s="12">
        <v>0</v>
      </c>
      <c r="M329" s="20">
        <f t="shared" si="62"/>
        <v>144000</v>
      </c>
      <c r="N329" s="13">
        <f t="shared" si="63"/>
        <v>265200</v>
      </c>
      <c r="O329" s="12">
        <v>265200</v>
      </c>
      <c r="P329" s="10">
        <f t="shared" si="53"/>
        <v>0</v>
      </c>
    </row>
    <row r="330" spans="1:16" s="14" customFormat="1" ht="15.75" customHeight="1" x14ac:dyDescent="0.25">
      <c r="A330" s="17">
        <v>46220</v>
      </c>
      <c r="B330" s="17" t="s">
        <v>4</v>
      </c>
      <c r="C330" s="18">
        <v>821</v>
      </c>
      <c r="D330" s="12">
        <v>297400</v>
      </c>
      <c r="E330" s="12">
        <v>245700</v>
      </c>
      <c r="F330" s="12">
        <v>0</v>
      </c>
      <c r="G330" s="12">
        <v>57000</v>
      </c>
      <c r="H330" s="19">
        <f t="shared" si="45"/>
        <v>302700</v>
      </c>
      <c r="I330" s="9">
        <f t="shared" si="61"/>
        <v>600100</v>
      </c>
      <c r="J330" s="12">
        <f>390140+683614+1341492</f>
        <v>2415246</v>
      </c>
      <c r="K330" s="12">
        <v>0</v>
      </c>
      <c r="L330" s="12">
        <f>100000+500000+966200</f>
        <v>1566200</v>
      </c>
      <c r="M330" s="20">
        <f t="shared" si="62"/>
        <v>-2112546</v>
      </c>
      <c r="N330" s="13">
        <f t="shared" si="63"/>
        <v>297400</v>
      </c>
      <c r="O330" s="12">
        <v>297400</v>
      </c>
      <c r="P330" s="10">
        <f t="shared" si="53"/>
        <v>0</v>
      </c>
    </row>
    <row r="331" spans="1:16" s="14" customFormat="1" ht="15.75" customHeight="1" x14ac:dyDescent="0.25">
      <c r="A331" s="17">
        <v>46221</v>
      </c>
      <c r="B331" s="17" t="s">
        <v>5</v>
      </c>
      <c r="C331" s="18">
        <v>822</v>
      </c>
      <c r="D331" s="12">
        <v>257600</v>
      </c>
      <c r="E331" s="12">
        <v>315000</v>
      </c>
      <c r="F331" s="12">
        <v>40000</v>
      </c>
      <c r="G331" s="12">
        <v>544200</v>
      </c>
      <c r="H331" s="19">
        <f t="shared" si="45"/>
        <v>899200</v>
      </c>
      <c r="I331" s="9">
        <f t="shared" si="61"/>
        <v>1156800</v>
      </c>
      <c r="J331" s="12">
        <v>0</v>
      </c>
      <c r="K331" s="12">
        <v>10000</v>
      </c>
      <c r="L331" s="12">
        <v>0</v>
      </c>
      <c r="M331" s="20">
        <f t="shared" si="62"/>
        <v>899200</v>
      </c>
      <c r="N331" s="13">
        <f t="shared" si="63"/>
        <v>247600</v>
      </c>
      <c r="O331" s="12">
        <v>247600</v>
      </c>
      <c r="P331" s="10">
        <v>0</v>
      </c>
    </row>
    <row r="332" spans="1:16" s="14" customFormat="1" ht="15.75" customHeight="1" x14ac:dyDescent="0.25">
      <c r="A332" s="17">
        <v>46222</v>
      </c>
      <c r="B332" s="17" t="s">
        <v>4</v>
      </c>
      <c r="C332" s="18">
        <v>823</v>
      </c>
      <c r="D332" s="12">
        <v>335500</v>
      </c>
      <c r="E332" s="12">
        <v>266700</v>
      </c>
      <c r="F332" s="12">
        <v>10000</v>
      </c>
      <c r="G332" s="12">
        <v>10200</v>
      </c>
      <c r="H332" s="19">
        <f t="shared" si="45"/>
        <v>286900</v>
      </c>
      <c r="I332" s="9">
        <f t="shared" si="61"/>
        <v>622400</v>
      </c>
      <c r="J332" s="12">
        <v>0</v>
      </c>
      <c r="K332" s="12">
        <v>0</v>
      </c>
      <c r="L332" s="12">
        <f>15000+4000</f>
        <v>19000</v>
      </c>
      <c r="M332" s="20">
        <f t="shared" si="62"/>
        <v>286900</v>
      </c>
      <c r="N332" s="13">
        <f t="shared" si="63"/>
        <v>335500</v>
      </c>
      <c r="O332" s="12">
        <v>335500</v>
      </c>
      <c r="P332" s="10">
        <f t="shared" si="53"/>
        <v>0</v>
      </c>
    </row>
    <row r="333" spans="1:16" s="14" customFormat="1" ht="15.75" customHeight="1" x14ac:dyDescent="0.25">
      <c r="A333" s="17">
        <v>46223</v>
      </c>
      <c r="B333" s="17" t="s">
        <v>4</v>
      </c>
      <c r="C333" s="18">
        <v>824</v>
      </c>
      <c r="D333" s="12">
        <v>280700</v>
      </c>
      <c r="E333" s="12">
        <v>163000</v>
      </c>
      <c r="F333" s="12">
        <v>12500</v>
      </c>
      <c r="G333" s="12">
        <v>108000</v>
      </c>
      <c r="H333" s="19">
        <f t="shared" si="45"/>
        <v>283500</v>
      </c>
      <c r="I333" s="9">
        <f t="shared" si="61"/>
        <v>564200</v>
      </c>
      <c r="J333" s="12">
        <v>0</v>
      </c>
      <c r="K333" s="12">
        <v>0</v>
      </c>
      <c r="L333" s="12">
        <v>0</v>
      </c>
      <c r="M333" s="20">
        <f t="shared" si="62"/>
        <v>283500</v>
      </c>
      <c r="N333" s="13">
        <f t="shared" si="63"/>
        <v>280700</v>
      </c>
      <c r="O333" s="12">
        <v>280700</v>
      </c>
      <c r="P333" s="10">
        <f t="shared" si="53"/>
        <v>0</v>
      </c>
    </row>
    <row r="334" spans="1:16" s="14" customFormat="1" ht="15.75" customHeight="1" x14ac:dyDescent="0.25">
      <c r="A334" s="17">
        <v>46224</v>
      </c>
      <c r="B334" s="21" t="s">
        <v>5</v>
      </c>
      <c r="C334" s="18">
        <v>825</v>
      </c>
      <c r="D334" s="12">
        <v>629800</v>
      </c>
      <c r="E334" s="12">
        <v>466300</v>
      </c>
      <c r="F334" s="12">
        <v>26000</v>
      </c>
      <c r="G334" s="12">
        <v>63600</v>
      </c>
      <c r="H334" s="19">
        <f t="shared" si="45"/>
        <v>555900</v>
      </c>
      <c r="I334" s="9">
        <f t="shared" si="61"/>
        <v>1185700</v>
      </c>
      <c r="J334" s="12">
        <v>1500000</v>
      </c>
      <c r="K334" s="12">
        <v>115243</v>
      </c>
      <c r="L334" s="12">
        <v>0</v>
      </c>
      <c r="M334" s="20">
        <f t="shared" si="62"/>
        <v>-944100</v>
      </c>
      <c r="N334" s="13">
        <f t="shared" si="63"/>
        <v>514557</v>
      </c>
      <c r="O334" s="12">
        <v>514700</v>
      </c>
      <c r="P334" s="10">
        <f t="shared" si="53"/>
        <v>143</v>
      </c>
    </row>
    <row r="335" spans="1:16" s="14" customFormat="1" ht="15.75" customHeight="1" x14ac:dyDescent="0.25">
      <c r="A335" s="17">
        <v>46225</v>
      </c>
      <c r="B335" s="17" t="s">
        <v>4</v>
      </c>
      <c r="C335" s="18">
        <v>826</v>
      </c>
      <c r="D335" s="12">
        <v>114500</v>
      </c>
      <c r="E335" s="12">
        <v>91000</v>
      </c>
      <c r="F335" s="12">
        <v>85000</v>
      </c>
      <c r="G335" s="12">
        <v>55900</v>
      </c>
      <c r="H335" s="19">
        <f t="shared" si="45"/>
        <v>231900</v>
      </c>
      <c r="I335" s="9">
        <f t="shared" si="61"/>
        <v>346400</v>
      </c>
      <c r="J335" s="12">
        <f>19900+500000</f>
        <v>519900</v>
      </c>
      <c r="K335" s="12">
        <v>3000</v>
      </c>
      <c r="L335" s="12">
        <v>1000000</v>
      </c>
      <c r="M335" s="20">
        <f t="shared" si="62"/>
        <v>-288000</v>
      </c>
      <c r="N335" s="13">
        <f t="shared" si="63"/>
        <v>111500</v>
      </c>
      <c r="O335" s="12">
        <v>111500</v>
      </c>
      <c r="P335" s="10">
        <f t="shared" si="53"/>
        <v>0</v>
      </c>
    </row>
    <row r="336" spans="1:16" s="14" customFormat="1" ht="15.75" customHeight="1" x14ac:dyDescent="0.25">
      <c r="A336" s="17">
        <v>46225</v>
      </c>
      <c r="B336" s="21" t="s">
        <v>5</v>
      </c>
      <c r="C336" s="18">
        <v>827</v>
      </c>
      <c r="D336" s="12">
        <v>312900</v>
      </c>
      <c r="E336" s="12">
        <v>314400</v>
      </c>
      <c r="F336" s="12">
        <v>135000</v>
      </c>
      <c r="G336" s="12">
        <v>281500</v>
      </c>
      <c r="H336" s="19">
        <f t="shared" si="45"/>
        <v>730900</v>
      </c>
      <c r="I336" s="9">
        <f t="shared" si="61"/>
        <v>1043800</v>
      </c>
      <c r="J336" s="12">
        <v>0</v>
      </c>
      <c r="K336" s="12">
        <v>0</v>
      </c>
      <c r="L336" s="12">
        <v>0</v>
      </c>
      <c r="M336" s="20">
        <f t="shared" si="62"/>
        <v>730900</v>
      </c>
      <c r="N336" s="13">
        <f t="shared" si="63"/>
        <v>312900</v>
      </c>
      <c r="O336" s="12">
        <v>312900</v>
      </c>
      <c r="P336" s="10">
        <f t="shared" si="53"/>
        <v>0</v>
      </c>
    </row>
    <row r="337" spans="1:16" s="14" customFormat="1" ht="15.75" customHeight="1" x14ac:dyDescent="0.25">
      <c r="A337" s="17">
        <v>46226</v>
      </c>
      <c r="B337" s="17" t="s">
        <v>4</v>
      </c>
      <c r="C337" s="18">
        <v>828</v>
      </c>
      <c r="D337" s="12">
        <v>232700</v>
      </c>
      <c r="E337" s="12">
        <v>25000</v>
      </c>
      <c r="F337" s="12">
        <v>0</v>
      </c>
      <c r="G337" s="12">
        <v>169000</v>
      </c>
      <c r="H337" s="19">
        <f t="shared" si="45"/>
        <v>194000</v>
      </c>
      <c r="I337" s="9">
        <f t="shared" si="61"/>
        <v>426700</v>
      </c>
      <c r="J337" s="12">
        <v>966200</v>
      </c>
      <c r="K337" s="12">
        <v>3000</v>
      </c>
      <c r="L337" s="12">
        <v>683500</v>
      </c>
      <c r="M337" s="20">
        <f t="shared" si="62"/>
        <v>-772200</v>
      </c>
      <c r="N337" s="13">
        <f t="shared" si="63"/>
        <v>229700</v>
      </c>
      <c r="O337" s="12">
        <v>229700</v>
      </c>
      <c r="P337" s="10">
        <f t="shared" si="53"/>
        <v>0</v>
      </c>
    </row>
    <row r="338" spans="1:16" s="14" customFormat="1" ht="15.75" customHeight="1" x14ac:dyDescent="0.25">
      <c r="A338" s="17">
        <v>46226</v>
      </c>
      <c r="B338" s="17" t="s">
        <v>5</v>
      </c>
      <c r="C338" s="18">
        <v>829</v>
      </c>
      <c r="D338" s="12">
        <v>195600</v>
      </c>
      <c r="E338" s="12">
        <v>232300</v>
      </c>
      <c r="F338" s="12">
        <v>20000</v>
      </c>
      <c r="G338" s="12">
        <v>54500</v>
      </c>
      <c r="H338" s="19">
        <f t="shared" si="45"/>
        <v>306800</v>
      </c>
      <c r="I338" s="9">
        <f t="shared" si="61"/>
        <v>502400</v>
      </c>
      <c r="J338" s="12">
        <v>0</v>
      </c>
      <c r="K338" s="12"/>
      <c r="L338" s="12">
        <v>188800</v>
      </c>
      <c r="M338" s="20">
        <f t="shared" si="62"/>
        <v>306800</v>
      </c>
      <c r="N338" s="13">
        <f t="shared" si="63"/>
        <v>195600</v>
      </c>
      <c r="O338" s="12">
        <v>195600</v>
      </c>
      <c r="P338" s="10">
        <f t="shared" si="53"/>
        <v>0</v>
      </c>
    </row>
    <row r="339" spans="1:16" s="14" customFormat="1" ht="15.75" customHeight="1" x14ac:dyDescent="0.25">
      <c r="A339" s="17">
        <v>46227</v>
      </c>
      <c r="B339" s="17" t="s">
        <v>4</v>
      </c>
      <c r="C339" s="18">
        <v>830</v>
      </c>
      <c r="D339" s="12">
        <v>134300</v>
      </c>
      <c r="E339" s="12">
        <v>130000</v>
      </c>
      <c r="F339" s="12">
        <v>81000</v>
      </c>
      <c r="G339" s="12">
        <v>255500</v>
      </c>
      <c r="H339" s="19">
        <f t="shared" si="45"/>
        <v>466500</v>
      </c>
      <c r="I339" s="9">
        <f t="shared" si="61"/>
        <v>600800</v>
      </c>
      <c r="J339" s="12">
        <v>0</v>
      </c>
      <c r="K339" s="12">
        <v>5000</v>
      </c>
      <c r="L339" s="12">
        <v>0</v>
      </c>
      <c r="M339" s="20">
        <f t="shared" si="62"/>
        <v>466500</v>
      </c>
      <c r="N339" s="13">
        <f t="shared" si="63"/>
        <v>129300</v>
      </c>
      <c r="O339" s="12">
        <v>129300</v>
      </c>
      <c r="P339" s="10">
        <f t="shared" si="53"/>
        <v>0</v>
      </c>
    </row>
    <row r="340" spans="1:16" s="14" customFormat="1" ht="15.75" customHeight="1" x14ac:dyDescent="0.25">
      <c r="A340" s="17">
        <v>46227</v>
      </c>
      <c r="B340" s="17" t="s">
        <v>5</v>
      </c>
      <c r="C340" s="18">
        <v>831</v>
      </c>
      <c r="D340" s="12">
        <v>245000</v>
      </c>
      <c r="E340" s="12">
        <v>127700</v>
      </c>
      <c r="F340" s="12">
        <v>50000</v>
      </c>
      <c r="G340" s="12">
        <v>57500</v>
      </c>
      <c r="H340" s="19">
        <f t="shared" si="45"/>
        <v>235200</v>
      </c>
      <c r="I340" s="9">
        <f t="shared" si="61"/>
        <v>480200</v>
      </c>
      <c r="J340" s="12">
        <v>67000</v>
      </c>
      <c r="K340" s="12">
        <v>0</v>
      </c>
      <c r="L340" s="12">
        <v>0</v>
      </c>
      <c r="M340" s="20">
        <f t="shared" si="62"/>
        <v>168200</v>
      </c>
      <c r="N340" s="13">
        <f t="shared" si="63"/>
        <v>245000</v>
      </c>
      <c r="O340" s="12">
        <v>245000</v>
      </c>
      <c r="P340" s="10">
        <f t="shared" si="53"/>
        <v>0</v>
      </c>
    </row>
    <row r="341" spans="1:16" s="14" customFormat="1" ht="15.75" customHeight="1" x14ac:dyDescent="0.25">
      <c r="A341" s="17">
        <v>46228</v>
      </c>
      <c r="B341" s="21" t="s">
        <v>4</v>
      </c>
      <c r="C341" s="18">
        <v>832</v>
      </c>
      <c r="D341" s="12">
        <v>517159</v>
      </c>
      <c r="E341" s="12">
        <v>412500</v>
      </c>
      <c r="F341" s="12">
        <v>0</v>
      </c>
      <c r="G341" s="12">
        <v>171500</v>
      </c>
      <c r="H341" s="19">
        <f t="shared" si="45"/>
        <v>584000</v>
      </c>
      <c r="I341" s="9">
        <f t="shared" si="61"/>
        <v>1101159</v>
      </c>
      <c r="J341" s="12">
        <v>1400000</v>
      </c>
      <c r="K341" s="12">
        <v>0</v>
      </c>
      <c r="L341" s="12">
        <f>376800+125000+25500</f>
        <v>527300</v>
      </c>
      <c r="M341" s="20">
        <f t="shared" si="62"/>
        <v>-816000</v>
      </c>
      <c r="N341" s="13">
        <f t="shared" si="63"/>
        <v>517159</v>
      </c>
      <c r="O341" s="12">
        <v>517200</v>
      </c>
      <c r="P341" s="10">
        <f t="shared" si="53"/>
        <v>41</v>
      </c>
    </row>
    <row r="342" spans="1:16" s="14" customFormat="1" ht="15.75" customHeight="1" x14ac:dyDescent="0.25">
      <c r="A342" s="17">
        <v>46229</v>
      </c>
      <c r="B342" s="17" t="s">
        <v>5</v>
      </c>
      <c r="C342" s="18">
        <v>833</v>
      </c>
      <c r="D342" s="12">
        <v>524700</v>
      </c>
      <c r="E342" s="12">
        <v>82500</v>
      </c>
      <c r="F342" s="12">
        <v>10000</v>
      </c>
      <c r="G342" s="12">
        <v>54500</v>
      </c>
      <c r="H342" s="19">
        <f t="shared" si="45"/>
        <v>147000</v>
      </c>
      <c r="I342" s="9">
        <f t="shared" si="61"/>
        <v>671700</v>
      </c>
      <c r="J342" s="12">
        <v>0</v>
      </c>
      <c r="K342" s="12">
        <v>0</v>
      </c>
      <c r="L342" s="12">
        <v>0</v>
      </c>
      <c r="M342" s="20">
        <f t="shared" si="62"/>
        <v>147000</v>
      </c>
      <c r="N342" s="13">
        <f t="shared" si="63"/>
        <v>524700</v>
      </c>
      <c r="O342" s="12">
        <v>524700</v>
      </c>
      <c r="P342" s="10">
        <f t="shared" si="53"/>
        <v>0</v>
      </c>
    </row>
    <row r="343" spans="1:16" s="14" customFormat="1" ht="15.75" customHeight="1" x14ac:dyDescent="0.25">
      <c r="A343" s="17">
        <v>46230</v>
      </c>
      <c r="B343" s="17" t="s">
        <v>5</v>
      </c>
      <c r="C343" s="18">
        <v>834</v>
      </c>
      <c r="D343" s="12">
        <v>94600</v>
      </c>
      <c r="E343" s="12">
        <v>84000</v>
      </c>
      <c r="F343" s="12">
        <v>0</v>
      </c>
      <c r="G343" s="12">
        <v>45000</v>
      </c>
      <c r="H343" s="19">
        <f t="shared" si="45"/>
        <v>129000</v>
      </c>
      <c r="I343" s="9">
        <f t="shared" si="61"/>
        <v>223600</v>
      </c>
      <c r="J343" s="12">
        <v>0</v>
      </c>
      <c r="K343" s="12">
        <v>0</v>
      </c>
      <c r="L343" s="12">
        <v>0</v>
      </c>
      <c r="M343" s="20">
        <f t="shared" si="62"/>
        <v>129000</v>
      </c>
      <c r="N343" s="13">
        <f t="shared" si="63"/>
        <v>94600</v>
      </c>
      <c r="O343" s="12">
        <v>94600</v>
      </c>
      <c r="P343" s="10">
        <f t="shared" si="53"/>
        <v>0</v>
      </c>
    </row>
    <row r="344" spans="1:16" s="14" customFormat="1" ht="15.75" customHeight="1" x14ac:dyDescent="0.25">
      <c r="A344" s="17">
        <v>46230</v>
      </c>
      <c r="B344" s="17" t="s">
        <v>4</v>
      </c>
      <c r="C344" s="18">
        <v>835</v>
      </c>
      <c r="D344" s="12">
        <v>555900</v>
      </c>
      <c r="E344" s="12">
        <v>207000</v>
      </c>
      <c r="F344" s="12">
        <v>118000</v>
      </c>
      <c r="G344" s="12">
        <v>50000</v>
      </c>
      <c r="H344" s="19">
        <f t="shared" si="45"/>
        <v>375000</v>
      </c>
      <c r="I344" s="9">
        <f t="shared" si="61"/>
        <v>930900</v>
      </c>
      <c r="J344" s="12">
        <v>0</v>
      </c>
      <c r="K344" s="12">
        <v>0</v>
      </c>
      <c r="L344" s="12">
        <v>0</v>
      </c>
      <c r="M344" s="20">
        <f t="shared" si="62"/>
        <v>375000</v>
      </c>
      <c r="N344" s="13">
        <f t="shared" si="63"/>
        <v>555900</v>
      </c>
      <c r="O344" s="12">
        <v>555900</v>
      </c>
      <c r="P344" s="10">
        <f t="shared" si="53"/>
        <v>0</v>
      </c>
    </row>
    <row r="345" spans="1:16" s="14" customFormat="1" ht="15.75" customHeight="1" x14ac:dyDescent="0.25">
      <c r="A345" s="17">
        <v>46231</v>
      </c>
      <c r="B345" s="17" t="s">
        <v>5</v>
      </c>
      <c r="C345" s="18">
        <v>836</v>
      </c>
      <c r="D345" s="12">
        <v>185000</v>
      </c>
      <c r="E345" s="12">
        <v>104500</v>
      </c>
      <c r="F345" s="12">
        <v>0</v>
      </c>
      <c r="G345" s="12">
        <v>289700</v>
      </c>
      <c r="H345" s="19">
        <f t="shared" si="45"/>
        <v>394200</v>
      </c>
      <c r="I345" s="9">
        <f t="shared" si="61"/>
        <v>579200</v>
      </c>
      <c r="J345" s="12">
        <v>0</v>
      </c>
      <c r="K345" s="12">
        <v>0</v>
      </c>
      <c r="L345" s="12">
        <v>0</v>
      </c>
      <c r="M345" s="20">
        <f t="shared" si="62"/>
        <v>394200</v>
      </c>
      <c r="N345" s="13">
        <f t="shared" si="63"/>
        <v>185000</v>
      </c>
      <c r="O345" s="12">
        <v>185000</v>
      </c>
      <c r="P345" s="10">
        <f t="shared" si="53"/>
        <v>0</v>
      </c>
    </row>
    <row r="346" spans="1:16" s="14" customFormat="1" ht="15.75" customHeight="1" x14ac:dyDescent="0.25">
      <c r="A346" s="17">
        <v>46231</v>
      </c>
      <c r="B346" s="17" t="s">
        <v>4</v>
      </c>
      <c r="C346" s="18">
        <v>837</v>
      </c>
      <c r="D346" s="12">
        <v>273100</v>
      </c>
      <c r="E346" s="12">
        <v>109500</v>
      </c>
      <c r="F346" s="12">
        <v>200000</v>
      </c>
      <c r="G346" s="12">
        <v>238500</v>
      </c>
      <c r="H346" s="19">
        <f t="shared" si="45"/>
        <v>548000</v>
      </c>
      <c r="I346" s="9">
        <f t="shared" si="61"/>
        <v>821100</v>
      </c>
      <c r="J346" s="12">
        <v>0</v>
      </c>
      <c r="K346" s="12">
        <v>0</v>
      </c>
      <c r="L346" s="12">
        <f>1388200+108400</f>
        <v>1496600</v>
      </c>
      <c r="M346" s="20">
        <f t="shared" si="62"/>
        <v>548000</v>
      </c>
      <c r="N346" s="13">
        <f t="shared" si="63"/>
        <v>273100</v>
      </c>
      <c r="O346" s="12">
        <v>273100</v>
      </c>
      <c r="P346" s="10">
        <f t="shared" si="53"/>
        <v>0</v>
      </c>
    </row>
    <row r="347" spans="1:16" s="14" customFormat="1" ht="15.75" customHeight="1" x14ac:dyDescent="0.25">
      <c r="A347" s="17">
        <v>46232</v>
      </c>
      <c r="B347" s="17" t="s">
        <v>5</v>
      </c>
      <c r="C347" s="18">
        <v>838</v>
      </c>
      <c r="D347" s="12">
        <v>223100</v>
      </c>
      <c r="E347" s="12">
        <v>79000</v>
      </c>
      <c r="F347" s="12">
        <v>0</v>
      </c>
      <c r="G347" s="12">
        <v>246500</v>
      </c>
      <c r="H347" s="19">
        <f t="shared" si="45"/>
        <v>325500</v>
      </c>
      <c r="I347" s="9">
        <f t="shared" si="61"/>
        <v>548600</v>
      </c>
      <c r="J347" s="12">
        <v>0</v>
      </c>
      <c r="K347" s="12">
        <v>66500</v>
      </c>
      <c r="L347" s="12">
        <v>0</v>
      </c>
      <c r="M347" s="20">
        <f t="shared" si="62"/>
        <v>325500</v>
      </c>
      <c r="N347" s="13">
        <f t="shared" si="63"/>
        <v>156600</v>
      </c>
      <c r="O347" s="12">
        <v>156600</v>
      </c>
      <c r="P347" s="10">
        <f t="shared" si="53"/>
        <v>0</v>
      </c>
    </row>
    <row r="348" spans="1:16" s="14" customFormat="1" ht="15.75" customHeight="1" x14ac:dyDescent="0.25">
      <c r="A348" s="17">
        <v>46232</v>
      </c>
      <c r="B348" s="17" t="s">
        <v>4</v>
      </c>
      <c r="C348" s="18">
        <v>839</v>
      </c>
      <c r="D348" s="12">
        <v>226500</v>
      </c>
      <c r="E348" s="12">
        <v>134600</v>
      </c>
      <c r="F348" s="12">
        <v>0</v>
      </c>
      <c r="G348" s="12">
        <v>153500</v>
      </c>
      <c r="H348" s="19">
        <f t="shared" si="45"/>
        <v>288100</v>
      </c>
      <c r="I348" s="9">
        <f t="shared" si="61"/>
        <v>514600</v>
      </c>
      <c r="J348" s="12">
        <v>0</v>
      </c>
      <c r="K348" s="12">
        <v>0</v>
      </c>
      <c r="L348" s="12">
        <v>0</v>
      </c>
      <c r="M348" s="20">
        <f t="shared" si="62"/>
        <v>288100</v>
      </c>
      <c r="N348" s="13">
        <f t="shared" si="63"/>
        <v>226500</v>
      </c>
      <c r="O348" s="12">
        <v>226500</v>
      </c>
      <c r="P348" s="10">
        <f t="shared" si="53"/>
        <v>0</v>
      </c>
    </row>
    <row r="349" spans="1:16" s="14" customFormat="1" ht="15.75" customHeight="1" x14ac:dyDescent="0.25">
      <c r="A349" s="17">
        <v>46233</v>
      </c>
      <c r="B349" s="17" t="s">
        <v>5</v>
      </c>
      <c r="C349" s="18">
        <v>840</v>
      </c>
      <c r="D349" s="12">
        <v>227500</v>
      </c>
      <c r="E349" s="12">
        <v>0</v>
      </c>
      <c r="F349" s="12">
        <v>45000</v>
      </c>
      <c r="G349" s="12">
        <v>48000</v>
      </c>
      <c r="H349" s="19">
        <f t="shared" si="45"/>
        <v>93000</v>
      </c>
      <c r="I349" s="9">
        <f t="shared" si="61"/>
        <v>320500</v>
      </c>
      <c r="J349" s="12">
        <v>0</v>
      </c>
      <c r="K349" s="12">
        <v>0</v>
      </c>
      <c r="L349" s="12">
        <v>0</v>
      </c>
      <c r="M349" s="20">
        <f t="shared" si="62"/>
        <v>93000</v>
      </c>
      <c r="N349" s="13">
        <f t="shared" si="63"/>
        <v>227500</v>
      </c>
      <c r="O349" s="12">
        <v>227500</v>
      </c>
      <c r="P349" s="10">
        <f t="shared" si="53"/>
        <v>0</v>
      </c>
    </row>
    <row r="350" spans="1:16" s="14" customFormat="1" ht="15.75" customHeight="1" x14ac:dyDescent="0.25">
      <c r="A350" s="17">
        <v>46233</v>
      </c>
      <c r="B350" s="21" t="s">
        <v>4</v>
      </c>
      <c r="C350" s="18">
        <v>841</v>
      </c>
      <c r="D350" s="12">
        <v>578900</v>
      </c>
      <c r="E350" s="12">
        <v>211000</v>
      </c>
      <c r="F350" s="12">
        <v>23100</v>
      </c>
      <c r="G350" s="12">
        <v>46000</v>
      </c>
      <c r="H350" s="19">
        <f t="shared" si="45"/>
        <v>280100</v>
      </c>
      <c r="I350" s="9">
        <f t="shared" si="61"/>
        <v>859000</v>
      </c>
      <c r="J350" s="12">
        <v>0</v>
      </c>
      <c r="K350" s="12">
        <v>2400</v>
      </c>
      <c r="L350" s="12">
        <f>63000+500000+150000+150000+50000+50000</f>
        <v>963000</v>
      </c>
      <c r="M350" s="20">
        <f t="shared" si="62"/>
        <v>280100</v>
      </c>
      <c r="N350" s="13">
        <f t="shared" si="63"/>
        <v>576500</v>
      </c>
      <c r="O350" s="12">
        <v>576500</v>
      </c>
      <c r="P350" s="10">
        <f t="shared" si="53"/>
        <v>0</v>
      </c>
    </row>
    <row r="351" spans="1:16" s="14" customFormat="1" ht="15.75" customHeight="1" x14ac:dyDescent="0.25">
      <c r="A351" s="17">
        <v>46234</v>
      </c>
      <c r="B351" s="17" t="s">
        <v>5</v>
      </c>
      <c r="C351" s="18">
        <v>842</v>
      </c>
      <c r="D351" s="12">
        <v>84800</v>
      </c>
      <c r="E351" s="12">
        <v>48000</v>
      </c>
      <c r="F351" s="12">
        <v>0</v>
      </c>
      <c r="G351" s="12">
        <v>68500</v>
      </c>
      <c r="H351" s="19">
        <f t="shared" si="45"/>
        <v>116500</v>
      </c>
      <c r="I351" s="9">
        <f t="shared" si="61"/>
        <v>201300</v>
      </c>
      <c r="J351" s="12">
        <f>1189742+2200000</f>
        <v>3389742</v>
      </c>
      <c r="K351" s="12">
        <v>21000</v>
      </c>
      <c r="L351" s="12">
        <v>800000</v>
      </c>
      <c r="M351" s="20">
        <f t="shared" si="62"/>
        <v>-3273242</v>
      </c>
      <c r="N351" s="13">
        <f t="shared" si="63"/>
        <v>63800</v>
      </c>
      <c r="O351" s="12">
        <v>63800</v>
      </c>
      <c r="P351" s="10">
        <f t="shared" si="53"/>
        <v>0</v>
      </c>
    </row>
    <row r="352" spans="1:16" s="14" customFormat="1" ht="15.75" customHeight="1" x14ac:dyDescent="0.25">
      <c r="A352" s="17">
        <v>46234</v>
      </c>
      <c r="B352" s="17" t="s">
        <v>4</v>
      </c>
      <c r="C352" s="18">
        <v>843</v>
      </c>
      <c r="D352" s="12">
        <v>346400</v>
      </c>
      <c r="E352" s="12">
        <v>76500</v>
      </c>
      <c r="F352" s="12">
        <v>86000</v>
      </c>
      <c r="G352" s="12">
        <v>252200</v>
      </c>
      <c r="H352" s="19">
        <f t="shared" si="45"/>
        <v>414700</v>
      </c>
      <c r="I352" s="9">
        <f t="shared" si="61"/>
        <v>761100</v>
      </c>
      <c r="J352" s="12">
        <v>0</v>
      </c>
      <c r="K352" s="12">
        <v>0</v>
      </c>
      <c r="L352" s="12">
        <v>0</v>
      </c>
      <c r="M352" s="20">
        <f t="shared" si="62"/>
        <v>414700</v>
      </c>
      <c r="N352" s="13">
        <f t="shared" si="63"/>
        <v>346400</v>
      </c>
      <c r="O352" s="12">
        <v>346400</v>
      </c>
      <c r="P352" s="10">
        <f t="shared" si="53"/>
        <v>0</v>
      </c>
    </row>
    <row r="353" spans="1:16" s="14" customFormat="1" ht="15.75" customHeight="1" x14ac:dyDescent="0.25">
      <c r="A353" s="17">
        <v>46235</v>
      </c>
      <c r="B353" s="17" t="s">
        <v>5</v>
      </c>
      <c r="C353" s="18">
        <v>844</v>
      </c>
      <c r="D353" s="12">
        <v>692800</v>
      </c>
      <c r="E353" s="12">
        <v>164500</v>
      </c>
      <c r="F353" s="12">
        <v>26000</v>
      </c>
      <c r="G353" s="12">
        <v>293000</v>
      </c>
      <c r="H353" s="19">
        <f t="shared" si="45"/>
        <v>483500</v>
      </c>
      <c r="I353" s="9">
        <f t="shared" si="61"/>
        <v>1176300</v>
      </c>
      <c r="J353" s="12">
        <v>0</v>
      </c>
      <c r="K353" s="12">
        <v>0</v>
      </c>
      <c r="L353" s="12">
        <v>0</v>
      </c>
      <c r="M353" s="20">
        <f t="shared" si="62"/>
        <v>483500</v>
      </c>
      <c r="N353" s="13">
        <f t="shared" si="63"/>
        <v>692800</v>
      </c>
      <c r="O353" s="12">
        <v>692800</v>
      </c>
      <c r="P353" s="10">
        <f t="shared" si="53"/>
        <v>0</v>
      </c>
    </row>
    <row r="354" spans="1:16" s="14" customFormat="1" ht="15.75" customHeight="1" x14ac:dyDescent="0.25">
      <c r="A354" s="17">
        <v>46236</v>
      </c>
      <c r="B354" s="17" t="s">
        <v>4</v>
      </c>
      <c r="C354" s="18">
        <v>845</v>
      </c>
      <c r="D354" s="12">
        <v>485300</v>
      </c>
      <c r="E354" s="12">
        <v>305500</v>
      </c>
      <c r="F354" s="12">
        <v>78500</v>
      </c>
      <c r="G354" s="12">
        <v>59600</v>
      </c>
      <c r="H354" s="19">
        <f t="shared" si="45"/>
        <v>443600</v>
      </c>
      <c r="I354" s="9">
        <f t="shared" si="61"/>
        <v>928900</v>
      </c>
      <c r="J354" s="12">
        <v>0</v>
      </c>
      <c r="K354" s="12">
        <v>0</v>
      </c>
      <c r="L354" s="12">
        <v>0</v>
      </c>
      <c r="M354" s="20">
        <f t="shared" si="62"/>
        <v>443600</v>
      </c>
      <c r="N354" s="13">
        <f t="shared" si="63"/>
        <v>485300</v>
      </c>
      <c r="O354" s="12">
        <v>485300</v>
      </c>
      <c r="P354" s="10">
        <f t="shared" si="53"/>
        <v>0</v>
      </c>
    </row>
    <row r="355" spans="1:16" s="14" customFormat="1" ht="15.75" customHeight="1" x14ac:dyDescent="0.25">
      <c r="A355" s="17">
        <v>46237</v>
      </c>
      <c r="B355" s="17" t="s">
        <v>4</v>
      </c>
      <c r="C355" s="18">
        <v>846</v>
      </c>
      <c r="D355" s="12">
        <v>263100</v>
      </c>
      <c r="E355" s="12">
        <v>0</v>
      </c>
      <c r="F355" s="12">
        <v>0</v>
      </c>
      <c r="G355" s="12">
        <v>290000</v>
      </c>
      <c r="H355" s="19">
        <f t="shared" si="45"/>
        <v>290000</v>
      </c>
      <c r="I355" s="9">
        <f t="shared" si="61"/>
        <v>553100</v>
      </c>
      <c r="J355" s="12">
        <v>1500000</v>
      </c>
      <c r="K355" s="12">
        <v>21500</v>
      </c>
      <c r="L355" s="12">
        <f>95000+236800+1000000+273600</f>
        <v>1605400</v>
      </c>
      <c r="M355" s="20">
        <f t="shared" si="62"/>
        <v>-1210000</v>
      </c>
      <c r="N355" s="13">
        <f t="shared" si="63"/>
        <v>241600</v>
      </c>
      <c r="O355" s="12">
        <v>241600</v>
      </c>
      <c r="P355" s="10">
        <f t="shared" si="53"/>
        <v>0</v>
      </c>
    </row>
    <row r="356" spans="1:16" s="14" customFormat="1" ht="15.75" customHeight="1" x14ac:dyDescent="0.25">
      <c r="A356" s="17">
        <v>46237</v>
      </c>
      <c r="B356" s="111" t="s">
        <v>4</v>
      </c>
      <c r="C356" s="18">
        <v>847</v>
      </c>
      <c r="D356" s="12">
        <v>383600</v>
      </c>
      <c r="E356" s="12">
        <v>160500</v>
      </c>
      <c r="F356" s="12">
        <v>0</v>
      </c>
      <c r="G356" s="12">
        <v>460500</v>
      </c>
      <c r="H356" s="19">
        <f t="shared" si="45"/>
        <v>621000</v>
      </c>
      <c r="I356" s="9">
        <f t="shared" si="61"/>
        <v>1004600</v>
      </c>
      <c r="J356" s="12">
        <v>0</v>
      </c>
      <c r="K356" s="12">
        <v>7000</v>
      </c>
      <c r="L356" s="12">
        <v>0</v>
      </c>
      <c r="M356" s="20">
        <f t="shared" si="62"/>
        <v>621000</v>
      </c>
      <c r="N356" s="13">
        <f t="shared" si="63"/>
        <v>376600</v>
      </c>
      <c r="O356" s="12">
        <v>376600</v>
      </c>
      <c r="P356" s="10">
        <f t="shared" si="53"/>
        <v>0</v>
      </c>
    </row>
    <row r="357" spans="1:16" s="14" customFormat="1" ht="15.75" customHeight="1" x14ac:dyDescent="0.25">
      <c r="A357" s="17">
        <v>46238</v>
      </c>
      <c r="B357" s="17" t="s">
        <v>4</v>
      </c>
      <c r="C357" s="18">
        <v>848</v>
      </c>
      <c r="D357" s="12">
        <v>207600</v>
      </c>
      <c r="E357" s="12">
        <v>136500</v>
      </c>
      <c r="F357" s="12">
        <v>130000</v>
      </c>
      <c r="G357" s="12">
        <v>75200</v>
      </c>
      <c r="H357" s="19">
        <f t="shared" si="45"/>
        <v>341700</v>
      </c>
      <c r="I357" s="9">
        <f t="shared" si="61"/>
        <v>549300</v>
      </c>
      <c r="J357" s="12">
        <v>0</v>
      </c>
      <c r="K357" s="12">
        <v>3000</v>
      </c>
      <c r="L357" s="12">
        <v>257400</v>
      </c>
      <c r="M357" s="20">
        <f t="shared" si="62"/>
        <v>341700</v>
      </c>
      <c r="N357" s="13">
        <f t="shared" si="63"/>
        <v>204600</v>
      </c>
      <c r="O357" s="12">
        <v>204600</v>
      </c>
      <c r="P357" s="10">
        <f t="shared" si="53"/>
        <v>0</v>
      </c>
    </row>
    <row r="358" spans="1:16" s="14" customFormat="1" ht="15.75" customHeight="1" x14ac:dyDescent="0.25">
      <c r="A358" s="17">
        <v>46238</v>
      </c>
      <c r="B358" s="17" t="s">
        <v>5</v>
      </c>
      <c r="C358" s="18">
        <v>849</v>
      </c>
      <c r="D358" s="12">
        <v>350400</v>
      </c>
      <c r="E358" s="12">
        <v>124000</v>
      </c>
      <c r="F358" s="12">
        <v>11000</v>
      </c>
      <c r="G358" s="12">
        <v>314000</v>
      </c>
      <c r="H358" s="19">
        <f t="shared" si="45"/>
        <v>449000</v>
      </c>
      <c r="I358" s="9">
        <f t="shared" si="61"/>
        <v>799400</v>
      </c>
      <c r="J358" s="12">
        <v>0</v>
      </c>
      <c r="K358" s="12">
        <v>2000</v>
      </c>
      <c r="L358" s="12">
        <v>0</v>
      </c>
      <c r="M358" s="20">
        <f t="shared" si="62"/>
        <v>449000</v>
      </c>
      <c r="N358" s="13">
        <f t="shared" si="63"/>
        <v>348400</v>
      </c>
      <c r="O358" s="12">
        <v>348400</v>
      </c>
      <c r="P358" s="10">
        <f t="shared" si="53"/>
        <v>0</v>
      </c>
    </row>
    <row r="359" spans="1:16" s="14" customFormat="1" ht="15.75" customHeight="1" x14ac:dyDescent="0.25">
      <c r="A359" s="17">
        <v>46239</v>
      </c>
      <c r="B359" s="17" t="s">
        <v>4</v>
      </c>
      <c r="C359" s="18">
        <v>850</v>
      </c>
      <c r="D359" s="12">
        <v>191500</v>
      </c>
      <c r="E359" s="12">
        <v>105000</v>
      </c>
      <c r="F359" s="12">
        <v>0</v>
      </c>
      <c r="G359" s="12">
        <v>72000</v>
      </c>
      <c r="H359" s="19">
        <f t="shared" si="45"/>
        <v>177000</v>
      </c>
      <c r="I359" s="9">
        <f t="shared" si="61"/>
        <v>368500</v>
      </c>
      <c r="J359" s="12">
        <v>0</v>
      </c>
      <c r="K359" s="12">
        <v>0</v>
      </c>
      <c r="L359" s="12">
        <v>0</v>
      </c>
      <c r="M359" s="20">
        <f t="shared" si="62"/>
        <v>177000</v>
      </c>
      <c r="N359" s="13">
        <f t="shared" si="63"/>
        <v>191500</v>
      </c>
      <c r="O359" s="12">
        <v>191500</v>
      </c>
      <c r="P359" s="10">
        <f t="shared" si="53"/>
        <v>0</v>
      </c>
    </row>
    <row r="360" spans="1:16" s="14" customFormat="1" ht="15.75" customHeight="1" x14ac:dyDescent="0.25">
      <c r="A360" s="17">
        <v>46239</v>
      </c>
      <c r="B360" s="17" t="s">
        <v>5</v>
      </c>
      <c r="C360" s="18">
        <v>851</v>
      </c>
      <c r="D360" s="12">
        <v>352100</v>
      </c>
      <c r="E360" s="12">
        <v>57000</v>
      </c>
      <c r="F360" s="12">
        <v>15000</v>
      </c>
      <c r="G360" s="12">
        <v>0</v>
      </c>
      <c r="H360" s="19">
        <f t="shared" si="45"/>
        <v>72000</v>
      </c>
      <c r="I360" s="9">
        <f t="shared" si="61"/>
        <v>424100</v>
      </c>
      <c r="J360" s="12">
        <v>0</v>
      </c>
      <c r="K360" s="12">
        <v>0</v>
      </c>
      <c r="L360" s="12">
        <v>0</v>
      </c>
      <c r="M360" s="20">
        <f t="shared" si="62"/>
        <v>72000</v>
      </c>
      <c r="N360" s="13">
        <f t="shared" si="63"/>
        <v>352100</v>
      </c>
      <c r="O360" s="12">
        <v>352100</v>
      </c>
      <c r="P360" s="10">
        <f t="shared" si="53"/>
        <v>0</v>
      </c>
    </row>
    <row r="361" spans="1:16" s="14" customFormat="1" ht="15.75" customHeight="1" x14ac:dyDescent="0.25">
      <c r="A361" s="17">
        <v>46240</v>
      </c>
      <c r="B361" s="17" t="s">
        <v>4</v>
      </c>
      <c r="C361" s="18">
        <v>852</v>
      </c>
      <c r="D361" s="12">
        <v>227700</v>
      </c>
      <c r="E361" s="12">
        <v>57000</v>
      </c>
      <c r="F361" s="12">
        <v>111500</v>
      </c>
      <c r="G361" s="12">
        <v>28000</v>
      </c>
      <c r="H361" s="19">
        <f t="shared" si="45"/>
        <v>196500</v>
      </c>
      <c r="I361" s="9">
        <f t="shared" si="61"/>
        <v>424200</v>
      </c>
      <c r="J361" s="12">
        <v>0</v>
      </c>
      <c r="K361" s="12">
        <v>0</v>
      </c>
      <c r="L361" s="12">
        <v>87000</v>
      </c>
      <c r="M361" s="20">
        <f t="shared" si="62"/>
        <v>196500</v>
      </c>
      <c r="N361" s="13">
        <f t="shared" si="63"/>
        <v>227700</v>
      </c>
      <c r="O361" s="12">
        <v>227700</v>
      </c>
      <c r="P361" s="10">
        <f t="shared" si="53"/>
        <v>0</v>
      </c>
    </row>
    <row r="362" spans="1:16" s="14" customFormat="1" ht="15.75" customHeight="1" x14ac:dyDescent="0.25">
      <c r="A362" s="17">
        <v>46240</v>
      </c>
      <c r="B362" s="17" t="s">
        <v>5</v>
      </c>
      <c r="C362" s="18">
        <v>853</v>
      </c>
      <c r="D362" s="12">
        <v>355100</v>
      </c>
      <c r="E362" s="12">
        <v>40000</v>
      </c>
      <c r="F362" s="12">
        <v>14000</v>
      </c>
      <c r="G362" s="12">
        <v>116500</v>
      </c>
      <c r="H362" s="19">
        <f t="shared" si="45"/>
        <v>170500</v>
      </c>
      <c r="I362" s="9">
        <f t="shared" si="61"/>
        <v>525600</v>
      </c>
      <c r="J362" s="12">
        <v>0</v>
      </c>
      <c r="K362" s="12">
        <v>0</v>
      </c>
      <c r="L362" s="12">
        <v>0</v>
      </c>
      <c r="M362" s="20">
        <f t="shared" si="62"/>
        <v>170500</v>
      </c>
      <c r="N362" s="13">
        <f t="shared" si="63"/>
        <v>355100</v>
      </c>
      <c r="O362" s="12">
        <v>355100</v>
      </c>
      <c r="P362" s="10">
        <f t="shared" si="53"/>
        <v>0</v>
      </c>
    </row>
    <row r="363" spans="1:16" s="14" customFormat="1" ht="15.75" customHeight="1" x14ac:dyDescent="0.25">
      <c r="A363" s="17">
        <v>46241</v>
      </c>
      <c r="B363" s="17" t="s">
        <v>4</v>
      </c>
      <c r="C363" s="18">
        <v>854</v>
      </c>
      <c r="D363" s="12">
        <v>159000</v>
      </c>
      <c r="E363" s="12">
        <v>144000</v>
      </c>
      <c r="F363" s="12">
        <v>0</v>
      </c>
      <c r="G363" s="12">
        <v>8000</v>
      </c>
      <c r="H363" s="19">
        <f t="shared" si="45"/>
        <v>152000</v>
      </c>
      <c r="I363" s="9">
        <f t="shared" si="61"/>
        <v>311000</v>
      </c>
      <c r="J363" s="12">
        <v>0</v>
      </c>
      <c r="K363" s="12">
        <v>0</v>
      </c>
      <c r="L363" s="12">
        <v>0</v>
      </c>
      <c r="M363" s="20">
        <f t="shared" si="62"/>
        <v>152000</v>
      </c>
      <c r="N363" s="13">
        <f t="shared" si="63"/>
        <v>159000</v>
      </c>
      <c r="O363" s="12">
        <v>159000</v>
      </c>
      <c r="P363" s="10">
        <f t="shared" si="53"/>
        <v>0</v>
      </c>
    </row>
    <row r="364" spans="1:16" s="14" customFormat="1" ht="15.75" customHeight="1" x14ac:dyDescent="0.25">
      <c r="A364" s="17">
        <v>46241</v>
      </c>
      <c r="B364" s="17" t="s">
        <v>5</v>
      </c>
      <c r="C364" s="18">
        <v>855</v>
      </c>
      <c r="D364" s="12">
        <v>216000</v>
      </c>
      <c r="E364" s="12">
        <v>7000</v>
      </c>
      <c r="F364" s="12">
        <v>58000</v>
      </c>
      <c r="G364" s="12">
        <v>25500</v>
      </c>
      <c r="H364" s="19">
        <f t="shared" si="45"/>
        <v>90500</v>
      </c>
      <c r="I364" s="9">
        <f t="shared" si="61"/>
        <v>306500</v>
      </c>
      <c r="J364" s="12">
        <v>0</v>
      </c>
      <c r="K364" s="12">
        <v>0</v>
      </c>
      <c r="L364" s="12">
        <v>0</v>
      </c>
      <c r="M364" s="20">
        <f t="shared" si="62"/>
        <v>90500</v>
      </c>
      <c r="N364" s="13">
        <f t="shared" si="63"/>
        <v>216000</v>
      </c>
      <c r="O364" s="12">
        <v>216000</v>
      </c>
      <c r="P364" s="10">
        <f t="shared" si="53"/>
        <v>0</v>
      </c>
    </row>
    <row r="365" spans="1:16" s="14" customFormat="1" ht="15.75" customHeight="1" x14ac:dyDescent="0.25">
      <c r="A365" s="17">
        <v>46242</v>
      </c>
      <c r="B365" s="17" t="s">
        <v>4</v>
      </c>
      <c r="C365" s="18">
        <v>856</v>
      </c>
      <c r="D365" s="12">
        <v>573700</v>
      </c>
      <c r="E365" s="12">
        <v>404300</v>
      </c>
      <c r="F365" s="12">
        <v>297200</v>
      </c>
      <c r="G365" s="12">
        <v>113000</v>
      </c>
      <c r="H365" s="19">
        <f t="shared" si="45"/>
        <v>814500</v>
      </c>
      <c r="I365" s="9">
        <f t="shared" si="61"/>
        <v>1388200</v>
      </c>
      <c r="J365" s="12">
        <v>100000</v>
      </c>
      <c r="K365" s="12">
        <v>0</v>
      </c>
      <c r="L365" s="12">
        <v>104300</v>
      </c>
      <c r="M365" s="20">
        <f t="shared" si="62"/>
        <v>714500</v>
      </c>
      <c r="N365" s="13">
        <f t="shared" si="63"/>
        <v>573700</v>
      </c>
      <c r="O365" s="12">
        <v>573700</v>
      </c>
      <c r="P365" s="10">
        <f t="shared" si="53"/>
        <v>0</v>
      </c>
    </row>
    <row r="366" spans="1:16" s="14" customFormat="1" ht="15.75" customHeight="1" x14ac:dyDescent="0.25">
      <c r="A366" s="17">
        <v>46243</v>
      </c>
      <c r="B366" s="17" t="s">
        <v>5</v>
      </c>
      <c r="C366" s="18">
        <v>857</v>
      </c>
      <c r="D366" s="12">
        <v>318100</v>
      </c>
      <c r="E366" s="12">
        <v>185400</v>
      </c>
      <c r="F366" s="12">
        <v>312000</v>
      </c>
      <c r="G366" s="12">
        <v>98000</v>
      </c>
      <c r="H366" s="19">
        <f t="shared" si="45"/>
        <v>595400</v>
      </c>
      <c r="I366" s="9">
        <f t="shared" si="61"/>
        <v>913500</v>
      </c>
      <c r="J366" s="12">
        <v>0</v>
      </c>
      <c r="K366" s="12">
        <v>6000</v>
      </c>
      <c r="L366" s="12">
        <v>0</v>
      </c>
      <c r="M366" s="20">
        <f t="shared" si="62"/>
        <v>595400</v>
      </c>
      <c r="N366" s="13">
        <f t="shared" si="63"/>
        <v>312100</v>
      </c>
      <c r="O366" s="12">
        <v>312100</v>
      </c>
      <c r="P366" s="10">
        <f t="shared" si="53"/>
        <v>0</v>
      </c>
    </row>
    <row r="367" spans="1:16" s="14" customFormat="1" ht="15.75" customHeight="1" x14ac:dyDescent="0.25">
      <c r="A367" s="17">
        <v>46244</v>
      </c>
      <c r="B367" s="21" t="s">
        <v>5</v>
      </c>
      <c r="C367" s="18">
        <v>858</v>
      </c>
      <c r="D367" s="12">
        <v>474400</v>
      </c>
      <c r="E367" s="12">
        <v>0</v>
      </c>
      <c r="F367" s="12">
        <v>18000</v>
      </c>
      <c r="G367" s="12">
        <v>258500</v>
      </c>
      <c r="H367" s="19">
        <f t="shared" si="45"/>
        <v>276500</v>
      </c>
      <c r="I367" s="9">
        <f t="shared" si="61"/>
        <v>750900</v>
      </c>
      <c r="J367" s="12">
        <v>0</v>
      </c>
      <c r="K367" s="12">
        <v>193640</v>
      </c>
      <c r="L367" s="12">
        <v>0</v>
      </c>
      <c r="M367" s="20">
        <f t="shared" si="62"/>
        <v>276500</v>
      </c>
      <c r="N367" s="13">
        <f t="shared" si="63"/>
        <v>280760</v>
      </c>
      <c r="O367" s="12">
        <v>280800</v>
      </c>
      <c r="P367" s="10">
        <f t="shared" si="53"/>
        <v>40</v>
      </c>
    </row>
    <row r="368" spans="1:16" s="14" customFormat="1" ht="15.75" customHeight="1" x14ac:dyDescent="0.25">
      <c r="A368" s="17">
        <v>46244</v>
      </c>
      <c r="B368" s="17" t="s">
        <v>4</v>
      </c>
      <c r="C368" s="18">
        <v>859</v>
      </c>
      <c r="D368" s="12">
        <v>273500</v>
      </c>
      <c r="E368" s="12">
        <v>340000</v>
      </c>
      <c r="F368" s="12">
        <v>378000</v>
      </c>
      <c r="G368" s="12">
        <v>99300</v>
      </c>
      <c r="H368" s="19">
        <f t="shared" si="45"/>
        <v>817300</v>
      </c>
      <c r="I368" s="9">
        <f t="shared" si="61"/>
        <v>1090800</v>
      </c>
      <c r="J368" s="12">
        <f>3000000+636420</f>
        <v>3636420</v>
      </c>
      <c r="K368" s="12">
        <v>0</v>
      </c>
      <c r="L368" s="12">
        <v>2364900</v>
      </c>
      <c r="M368" s="20">
        <f t="shared" si="62"/>
        <v>-2819120</v>
      </c>
      <c r="N368" s="13">
        <f t="shared" si="63"/>
        <v>273500</v>
      </c>
      <c r="O368" s="12">
        <v>273500</v>
      </c>
      <c r="P368" s="10">
        <f t="shared" si="53"/>
        <v>0</v>
      </c>
    </row>
    <row r="369" spans="1:16" s="14" customFormat="1" ht="15.75" customHeight="1" x14ac:dyDescent="0.25">
      <c r="A369" s="17">
        <v>46245</v>
      </c>
      <c r="B369" s="21" t="s">
        <v>5</v>
      </c>
      <c r="C369" s="18">
        <v>860</v>
      </c>
      <c r="D369" s="12">
        <v>141500</v>
      </c>
      <c r="E369" s="12">
        <v>0</v>
      </c>
      <c r="F369" s="12">
        <v>0</v>
      </c>
      <c r="G369" s="12">
        <v>67000</v>
      </c>
      <c r="H369" s="19">
        <f t="shared" si="45"/>
        <v>67000</v>
      </c>
      <c r="I369" s="9">
        <f t="shared" si="61"/>
        <v>208500</v>
      </c>
      <c r="J369" s="12">
        <v>0</v>
      </c>
      <c r="K369" s="12">
        <v>6000</v>
      </c>
      <c r="L369" s="12">
        <v>350833</v>
      </c>
      <c r="M369" s="20">
        <f t="shared" si="62"/>
        <v>67000</v>
      </c>
      <c r="N369" s="13">
        <f t="shared" si="63"/>
        <v>135500</v>
      </c>
      <c r="O369" s="12">
        <v>135500</v>
      </c>
      <c r="P369" s="10">
        <f t="shared" si="53"/>
        <v>0</v>
      </c>
    </row>
    <row r="370" spans="1:16" s="14" customFormat="1" ht="15.75" customHeight="1" x14ac:dyDescent="0.25">
      <c r="A370" s="17">
        <v>46245</v>
      </c>
      <c r="B370" s="17" t="s">
        <v>4</v>
      </c>
      <c r="C370" s="18">
        <v>861</v>
      </c>
      <c r="D370" s="12">
        <v>412200</v>
      </c>
      <c r="E370" s="12">
        <v>56300</v>
      </c>
      <c r="F370" s="12">
        <v>30000</v>
      </c>
      <c r="G370" s="12">
        <v>1031700</v>
      </c>
      <c r="H370" s="19">
        <f t="shared" si="45"/>
        <v>1118000</v>
      </c>
      <c r="I370" s="9">
        <f t="shared" si="61"/>
        <v>1530200</v>
      </c>
      <c r="J370" s="12">
        <v>0</v>
      </c>
      <c r="K370" s="12">
        <v>3000</v>
      </c>
      <c r="L370" s="12">
        <v>559000</v>
      </c>
      <c r="M370" s="20">
        <f t="shared" si="62"/>
        <v>1118000</v>
      </c>
      <c r="N370" s="13">
        <f t="shared" si="63"/>
        <v>409200</v>
      </c>
      <c r="O370" s="12">
        <v>409200</v>
      </c>
      <c r="P370" s="10">
        <f t="shared" si="53"/>
        <v>0</v>
      </c>
    </row>
    <row r="371" spans="1:16" s="14" customFormat="1" ht="15.75" customHeight="1" x14ac:dyDescent="0.25">
      <c r="A371" s="17">
        <v>46246</v>
      </c>
      <c r="B371" s="17" t="s">
        <v>5</v>
      </c>
      <c r="C371" s="18">
        <v>862</v>
      </c>
      <c r="D371" s="12">
        <v>179600</v>
      </c>
      <c r="E371" s="12">
        <v>49000</v>
      </c>
      <c r="F371" s="12">
        <v>0</v>
      </c>
      <c r="G371" s="12">
        <v>59000</v>
      </c>
      <c r="H371" s="19">
        <f t="shared" si="45"/>
        <v>108000</v>
      </c>
      <c r="I371" s="9">
        <f t="shared" si="61"/>
        <v>287600</v>
      </c>
      <c r="J371" s="12">
        <v>0</v>
      </c>
      <c r="K371" s="12">
        <v>0</v>
      </c>
      <c r="L371" s="12">
        <v>0</v>
      </c>
      <c r="M371" s="20">
        <f t="shared" si="62"/>
        <v>108000</v>
      </c>
      <c r="N371" s="13">
        <f t="shared" si="63"/>
        <v>179600</v>
      </c>
      <c r="O371" s="12">
        <v>179600</v>
      </c>
      <c r="P371" s="10">
        <f t="shared" si="53"/>
        <v>0</v>
      </c>
    </row>
    <row r="372" spans="1:16" s="14" customFormat="1" ht="15.75" customHeight="1" x14ac:dyDescent="0.25">
      <c r="A372" s="17">
        <v>46246</v>
      </c>
      <c r="B372" s="17" t="s">
        <v>4</v>
      </c>
      <c r="C372" s="18">
        <v>863</v>
      </c>
      <c r="D372" s="12">
        <v>653400</v>
      </c>
      <c r="E372" s="12">
        <v>172000</v>
      </c>
      <c r="F372" s="12">
        <v>24000</v>
      </c>
      <c r="G372" s="12">
        <v>68000</v>
      </c>
      <c r="H372" s="19">
        <f t="shared" si="45"/>
        <v>264000</v>
      </c>
      <c r="I372" s="9">
        <f t="shared" si="61"/>
        <v>917400</v>
      </c>
      <c r="J372" s="12">
        <f>2206402+60000</f>
        <v>2266402</v>
      </c>
      <c r="K372" s="12">
        <v>0</v>
      </c>
      <c r="L372" s="12">
        <f>500000+170000+280000+95800+97000</f>
        <v>1142800</v>
      </c>
      <c r="M372" s="20">
        <f t="shared" si="62"/>
        <v>-2002402</v>
      </c>
      <c r="N372" s="13">
        <f t="shared" si="63"/>
        <v>653400</v>
      </c>
      <c r="O372" s="12">
        <v>653400</v>
      </c>
      <c r="P372" s="10">
        <f t="shared" si="53"/>
        <v>0</v>
      </c>
    </row>
    <row r="373" spans="1:16" s="14" customFormat="1" ht="15.75" customHeight="1" x14ac:dyDescent="0.25">
      <c r="A373" s="17">
        <v>46247</v>
      </c>
      <c r="B373" s="17" t="s">
        <v>5</v>
      </c>
      <c r="C373" s="18">
        <v>864</v>
      </c>
      <c r="D373" s="12">
        <v>385000</v>
      </c>
      <c r="E373" s="12">
        <v>0</v>
      </c>
      <c r="F373" s="12">
        <v>0</v>
      </c>
      <c r="G373" s="12">
        <v>18000</v>
      </c>
      <c r="H373" s="19">
        <f t="shared" si="45"/>
        <v>18000</v>
      </c>
      <c r="I373" s="9">
        <f t="shared" si="61"/>
        <v>403000</v>
      </c>
      <c r="J373" s="12">
        <v>0</v>
      </c>
      <c r="K373" s="12">
        <v>0</v>
      </c>
      <c r="L373" s="12">
        <f>126000</f>
        <v>126000</v>
      </c>
      <c r="M373" s="20">
        <f t="shared" si="62"/>
        <v>18000</v>
      </c>
      <c r="N373" s="13">
        <f t="shared" si="63"/>
        <v>385000</v>
      </c>
      <c r="O373" s="12">
        <v>385000</v>
      </c>
      <c r="P373" s="10">
        <f t="shared" si="53"/>
        <v>0</v>
      </c>
    </row>
    <row r="374" spans="1:16" s="14" customFormat="1" ht="15.75" customHeight="1" x14ac:dyDescent="0.25">
      <c r="A374" s="17">
        <v>46247</v>
      </c>
      <c r="B374" s="17" t="s">
        <v>4</v>
      </c>
      <c r="C374" s="18">
        <v>865</v>
      </c>
      <c r="D374" s="12">
        <v>483500</v>
      </c>
      <c r="E374" s="12">
        <v>66500</v>
      </c>
      <c r="F374" s="12">
        <v>18000</v>
      </c>
      <c r="G374" s="12">
        <v>385600</v>
      </c>
      <c r="H374" s="19">
        <f t="shared" si="45"/>
        <v>470100</v>
      </c>
      <c r="I374" s="9">
        <f t="shared" si="61"/>
        <v>953600</v>
      </c>
      <c r="J374" s="12">
        <v>0</v>
      </c>
      <c r="K374" s="12">
        <v>63700</v>
      </c>
      <c r="L374" s="12">
        <v>304200</v>
      </c>
      <c r="M374" s="20">
        <f t="shared" si="62"/>
        <v>470100</v>
      </c>
      <c r="N374" s="13">
        <f t="shared" si="63"/>
        <v>419800</v>
      </c>
      <c r="O374" s="12">
        <v>419800</v>
      </c>
      <c r="P374" s="10">
        <f t="shared" si="53"/>
        <v>0</v>
      </c>
    </row>
    <row r="375" spans="1:16" s="14" customFormat="1" ht="15.75" customHeight="1" x14ac:dyDescent="0.25">
      <c r="A375" s="17" t="s">
        <v>360</v>
      </c>
      <c r="B375" s="17" t="s">
        <v>5</v>
      </c>
      <c r="C375" s="18">
        <v>866</v>
      </c>
      <c r="D375" s="12">
        <v>187200</v>
      </c>
      <c r="E375" s="12">
        <v>82000</v>
      </c>
      <c r="F375" s="12">
        <v>0</v>
      </c>
      <c r="G375" s="12">
        <v>0</v>
      </c>
      <c r="H375" s="19">
        <f t="shared" si="45"/>
        <v>82000</v>
      </c>
      <c r="I375" s="9">
        <f t="shared" si="61"/>
        <v>269200</v>
      </c>
      <c r="J375" s="12">
        <v>0</v>
      </c>
      <c r="K375" s="12">
        <v>0</v>
      </c>
      <c r="L375" s="12">
        <v>0</v>
      </c>
      <c r="M375" s="20">
        <f t="shared" si="62"/>
        <v>82000</v>
      </c>
      <c r="N375" s="13">
        <f t="shared" si="63"/>
        <v>187200</v>
      </c>
      <c r="O375" s="12">
        <v>187200</v>
      </c>
      <c r="P375" s="10">
        <f t="shared" si="53"/>
        <v>0</v>
      </c>
    </row>
    <row r="376" spans="1:16" s="14" customFormat="1" ht="15.75" customHeight="1" x14ac:dyDescent="0.25">
      <c r="A376" s="17">
        <v>46248</v>
      </c>
      <c r="B376" s="17" t="s">
        <v>4</v>
      </c>
      <c r="C376" s="18">
        <v>867</v>
      </c>
      <c r="D376" s="12">
        <v>268500</v>
      </c>
      <c r="E376" s="12">
        <v>158200</v>
      </c>
      <c r="F376" s="12">
        <v>0</v>
      </c>
      <c r="G376" s="12">
        <v>166000</v>
      </c>
      <c r="H376" s="19">
        <f t="shared" si="45"/>
        <v>324200</v>
      </c>
      <c r="I376" s="9">
        <f t="shared" si="61"/>
        <v>592700</v>
      </c>
      <c r="J376" s="12">
        <v>0</v>
      </c>
      <c r="K376" s="12">
        <v>0</v>
      </c>
      <c r="L376" s="12">
        <f>182000+150000+150000+55900+50000</f>
        <v>587900</v>
      </c>
      <c r="M376" s="20">
        <f t="shared" si="62"/>
        <v>324200</v>
      </c>
      <c r="N376" s="13">
        <f t="shared" si="63"/>
        <v>268500</v>
      </c>
      <c r="O376" s="12">
        <v>268500</v>
      </c>
      <c r="P376" s="10">
        <f t="shared" si="53"/>
        <v>0</v>
      </c>
    </row>
    <row r="377" spans="1:16" s="14" customFormat="1" ht="15.75" customHeight="1" x14ac:dyDescent="0.25">
      <c r="A377" s="17">
        <v>46249</v>
      </c>
      <c r="B377" s="17" t="s">
        <v>5</v>
      </c>
      <c r="C377" s="18">
        <v>868</v>
      </c>
      <c r="D377" s="12">
        <v>450800</v>
      </c>
      <c r="E377" s="12">
        <v>854981</v>
      </c>
      <c r="F377" s="12">
        <v>41500</v>
      </c>
      <c r="G377" s="12">
        <v>78800</v>
      </c>
      <c r="H377" s="19">
        <f t="shared" si="45"/>
        <v>975281</v>
      </c>
      <c r="I377" s="9">
        <f t="shared" si="61"/>
        <v>1426081</v>
      </c>
      <c r="J377" s="12">
        <v>0</v>
      </c>
      <c r="K377" s="12">
        <v>0</v>
      </c>
      <c r="L377" s="12">
        <v>0</v>
      </c>
      <c r="M377" s="20">
        <f t="shared" si="62"/>
        <v>975281</v>
      </c>
      <c r="N377" s="13">
        <f t="shared" si="63"/>
        <v>450800</v>
      </c>
      <c r="O377" s="12">
        <v>450800</v>
      </c>
      <c r="P377" s="10">
        <f t="shared" si="53"/>
        <v>0</v>
      </c>
    </row>
    <row r="378" spans="1:16" s="14" customFormat="1" ht="15.75" customHeight="1" x14ac:dyDescent="0.25">
      <c r="A378" s="17">
        <v>46250</v>
      </c>
      <c r="B378" s="17" t="s">
        <v>4</v>
      </c>
      <c r="C378" s="18">
        <v>869</v>
      </c>
      <c r="D378" s="12">
        <v>348000</v>
      </c>
      <c r="E378" s="12">
        <v>383200</v>
      </c>
      <c r="F378" s="12">
        <v>33500</v>
      </c>
      <c r="G378" s="12">
        <v>45500</v>
      </c>
      <c r="H378" s="19">
        <f t="shared" si="45"/>
        <v>462200</v>
      </c>
      <c r="I378" s="9">
        <f t="shared" si="61"/>
        <v>810200</v>
      </c>
      <c r="J378" s="12">
        <v>0</v>
      </c>
      <c r="K378" s="12">
        <v>0</v>
      </c>
      <c r="L378" s="12">
        <f>36000+60000</f>
        <v>96000</v>
      </c>
      <c r="M378" s="20">
        <f t="shared" si="62"/>
        <v>462200</v>
      </c>
      <c r="N378" s="13">
        <f t="shared" si="63"/>
        <v>348000</v>
      </c>
      <c r="O378" s="12">
        <v>348000</v>
      </c>
      <c r="P378" s="10">
        <f t="shared" si="53"/>
        <v>0</v>
      </c>
    </row>
    <row r="379" spans="1:16" s="14" customFormat="1" ht="15.75" customHeight="1" x14ac:dyDescent="0.25">
      <c r="A379" s="17">
        <v>46159</v>
      </c>
      <c r="B379" s="115" t="s">
        <v>4</v>
      </c>
      <c r="C379" s="18">
        <v>870</v>
      </c>
      <c r="D379" s="12">
        <v>177900</v>
      </c>
      <c r="E379" s="12">
        <v>105100</v>
      </c>
      <c r="F379" s="12">
        <v>0</v>
      </c>
      <c r="G379" s="12">
        <v>131500</v>
      </c>
      <c r="H379" s="19">
        <f t="shared" si="45"/>
        <v>236600</v>
      </c>
      <c r="I379" s="9">
        <f t="shared" si="61"/>
        <v>414500</v>
      </c>
      <c r="J379" s="12">
        <v>0</v>
      </c>
      <c r="K379" s="12">
        <v>0</v>
      </c>
      <c r="L379" s="12">
        <v>0</v>
      </c>
      <c r="M379" s="20">
        <f t="shared" si="62"/>
        <v>236600</v>
      </c>
      <c r="N379" s="13">
        <f t="shared" si="63"/>
        <v>177900</v>
      </c>
      <c r="O379" s="12">
        <v>177900</v>
      </c>
      <c r="P379" s="10">
        <f t="shared" si="53"/>
        <v>0</v>
      </c>
    </row>
    <row r="380" spans="1:16" s="14" customFormat="1" ht="15.75" customHeight="1" x14ac:dyDescent="0.25">
      <c r="A380" s="17">
        <v>46251</v>
      </c>
      <c r="B380" s="17" t="s">
        <v>5</v>
      </c>
      <c r="C380" s="18">
        <v>871</v>
      </c>
      <c r="D380" s="12">
        <v>124000</v>
      </c>
      <c r="E380" s="12">
        <v>103600</v>
      </c>
      <c r="F380" s="12">
        <v>0</v>
      </c>
      <c r="G380" s="12">
        <v>47800</v>
      </c>
      <c r="H380" s="19">
        <f t="shared" si="45"/>
        <v>151400</v>
      </c>
      <c r="I380" s="9">
        <f t="shared" si="61"/>
        <v>275400</v>
      </c>
      <c r="J380" s="12">
        <v>0</v>
      </c>
      <c r="K380" s="12">
        <v>0</v>
      </c>
      <c r="L380" s="12">
        <v>50000</v>
      </c>
      <c r="M380" s="20">
        <f t="shared" si="62"/>
        <v>151400</v>
      </c>
      <c r="N380" s="13">
        <f t="shared" si="63"/>
        <v>124000</v>
      </c>
      <c r="O380" s="12">
        <v>124000</v>
      </c>
      <c r="P380" s="10">
        <f t="shared" si="53"/>
        <v>0</v>
      </c>
    </row>
    <row r="381" spans="1:16" s="14" customFormat="1" ht="15.75" customHeight="1" x14ac:dyDescent="0.25">
      <c r="A381" s="17">
        <v>46252</v>
      </c>
      <c r="B381" s="115" t="s">
        <v>4</v>
      </c>
      <c r="C381" s="18">
        <v>872</v>
      </c>
      <c r="D381" s="12">
        <v>199100</v>
      </c>
      <c r="E381" s="12">
        <v>239800</v>
      </c>
      <c r="F381" s="12">
        <v>16000</v>
      </c>
      <c r="G381" s="12">
        <v>239800</v>
      </c>
      <c r="H381" s="19">
        <f t="shared" si="45"/>
        <v>495600</v>
      </c>
      <c r="I381" s="9">
        <f t="shared" si="61"/>
        <v>694700</v>
      </c>
      <c r="J381" s="12">
        <v>0</v>
      </c>
      <c r="K381" s="12">
        <v>0</v>
      </c>
      <c r="L381" s="12">
        <v>0</v>
      </c>
      <c r="M381" s="20">
        <f t="shared" si="62"/>
        <v>495600</v>
      </c>
      <c r="N381" s="13">
        <f t="shared" si="63"/>
        <v>199100</v>
      </c>
      <c r="O381" s="12">
        <v>199100</v>
      </c>
      <c r="P381" s="10">
        <f t="shared" si="53"/>
        <v>0</v>
      </c>
    </row>
    <row r="382" spans="1:16" s="14" customFormat="1" ht="15.75" customHeight="1" x14ac:dyDescent="0.25">
      <c r="A382" s="17">
        <v>46252</v>
      </c>
      <c r="B382" s="17" t="s">
        <v>5</v>
      </c>
      <c r="C382" s="18">
        <v>873</v>
      </c>
      <c r="D382" s="12">
        <v>308200</v>
      </c>
      <c r="E382" s="12">
        <v>15000</v>
      </c>
      <c r="F382" s="12">
        <v>0</v>
      </c>
      <c r="G382" s="12">
        <v>47100</v>
      </c>
      <c r="H382" s="19">
        <f t="shared" si="45"/>
        <v>62100</v>
      </c>
      <c r="I382" s="9">
        <f t="shared" si="61"/>
        <v>370300</v>
      </c>
      <c r="J382" s="12">
        <v>0</v>
      </c>
      <c r="K382" s="12">
        <v>0</v>
      </c>
      <c r="L382" s="12">
        <v>0</v>
      </c>
      <c r="M382" s="20">
        <f t="shared" si="62"/>
        <v>62100</v>
      </c>
      <c r="N382" s="13">
        <f t="shared" si="63"/>
        <v>308200</v>
      </c>
      <c r="O382" s="12">
        <v>308300</v>
      </c>
      <c r="P382" s="10">
        <f t="shared" si="53"/>
        <v>100</v>
      </c>
    </row>
    <row r="383" spans="1:16" s="14" customFormat="1" ht="15.75" customHeight="1" x14ac:dyDescent="0.25">
      <c r="A383" s="17">
        <v>46253</v>
      </c>
      <c r="B383" s="115" t="s">
        <v>4</v>
      </c>
      <c r="C383" s="18">
        <v>874</v>
      </c>
      <c r="D383" s="12">
        <v>145200</v>
      </c>
      <c r="E383" s="12">
        <v>0</v>
      </c>
      <c r="F383" s="12">
        <v>26000</v>
      </c>
      <c r="G383" s="12">
        <v>46000</v>
      </c>
      <c r="H383" s="19">
        <f t="shared" si="45"/>
        <v>72000</v>
      </c>
      <c r="I383" s="9">
        <f t="shared" si="61"/>
        <v>217200</v>
      </c>
      <c r="J383" s="12">
        <v>0</v>
      </c>
      <c r="K383" s="12">
        <v>0</v>
      </c>
      <c r="L383" s="12">
        <v>0</v>
      </c>
      <c r="M383" s="20">
        <f t="shared" si="62"/>
        <v>72000</v>
      </c>
      <c r="N383" s="13">
        <f t="shared" si="63"/>
        <v>145200</v>
      </c>
      <c r="O383" s="12">
        <v>145200</v>
      </c>
      <c r="P383" s="10">
        <f t="shared" si="53"/>
        <v>0</v>
      </c>
    </row>
    <row r="384" spans="1:16" s="14" customFormat="1" ht="15.75" customHeight="1" x14ac:dyDescent="0.25">
      <c r="A384" s="17">
        <v>46253</v>
      </c>
      <c r="B384" s="17" t="s">
        <v>5</v>
      </c>
      <c r="C384" s="18">
        <v>875</v>
      </c>
      <c r="D384" s="12">
        <v>297500</v>
      </c>
      <c r="E384" s="12">
        <v>297900</v>
      </c>
      <c r="F384" s="12">
        <v>35000</v>
      </c>
      <c r="G384" s="12">
        <v>27500</v>
      </c>
      <c r="H384" s="19">
        <f t="shared" ref="H384:H423" si="64">E384+F384+G384</f>
        <v>360400</v>
      </c>
      <c r="I384" s="9">
        <f t="shared" si="61"/>
        <v>657900</v>
      </c>
      <c r="J384" s="12">
        <v>3488350</v>
      </c>
      <c r="K384" s="12">
        <v>0</v>
      </c>
      <c r="L384" s="12">
        <v>2351620</v>
      </c>
      <c r="M384" s="20">
        <f t="shared" si="62"/>
        <v>-3127950</v>
      </c>
      <c r="N384" s="13">
        <f t="shared" si="63"/>
        <v>297500</v>
      </c>
      <c r="O384" s="12">
        <v>297500</v>
      </c>
      <c r="P384" s="10">
        <f t="shared" si="53"/>
        <v>0</v>
      </c>
    </row>
    <row r="385" spans="1:16" s="14" customFormat="1" ht="15.75" customHeight="1" x14ac:dyDescent="0.25">
      <c r="A385" s="17">
        <v>46254</v>
      </c>
      <c r="B385" s="115" t="s">
        <v>4</v>
      </c>
      <c r="C385" s="18">
        <v>876</v>
      </c>
      <c r="D385" s="12">
        <v>239500</v>
      </c>
      <c r="E385" s="12">
        <v>38000</v>
      </c>
      <c r="F385" s="12">
        <v>0</v>
      </c>
      <c r="G385" s="12">
        <v>27000</v>
      </c>
      <c r="H385" s="19">
        <f t="shared" si="64"/>
        <v>65000</v>
      </c>
      <c r="I385" s="9">
        <f t="shared" si="61"/>
        <v>304500</v>
      </c>
      <c r="J385" s="12">
        <v>0</v>
      </c>
      <c r="K385" s="12">
        <v>0</v>
      </c>
      <c r="L385" s="12">
        <v>0</v>
      </c>
      <c r="M385" s="20">
        <f t="shared" si="62"/>
        <v>65000</v>
      </c>
      <c r="N385" s="13">
        <f t="shared" si="63"/>
        <v>239500</v>
      </c>
      <c r="O385" s="12">
        <v>239500</v>
      </c>
      <c r="P385" s="10">
        <f t="shared" si="53"/>
        <v>0</v>
      </c>
    </row>
    <row r="386" spans="1:16" s="14" customFormat="1" ht="15.75" customHeight="1" x14ac:dyDescent="0.25">
      <c r="A386" s="17">
        <v>46254</v>
      </c>
      <c r="B386" s="17" t="s">
        <v>5</v>
      </c>
      <c r="C386" s="18">
        <v>877</v>
      </c>
      <c r="D386" s="12">
        <v>230200</v>
      </c>
      <c r="E386" s="12">
        <v>265700</v>
      </c>
      <c r="F386" s="12">
        <v>194500</v>
      </c>
      <c r="G386" s="12">
        <v>90800</v>
      </c>
      <c r="H386" s="19">
        <f t="shared" si="64"/>
        <v>551000</v>
      </c>
      <c r="I386" s="9">
        <f t="shared" si="61"/>
        <v>781200</v>
      </c>
      <c r="J386" s="12">
        <v>0</v>
      </c>
      <c r="K386" s="12">
        <v>8000</v>
      </c>
      <c r="L386" s="12">
        <v>0</v>
      </c>
      <c r="M386" s="20">
        <f t="shared" si="62"/>
        <v>551000</v>
      </c>
      <c r="N386" s="13">
        <f t="shared" si="63"/>
        <v>222200</v>
      </c>
      <c r="O386" s="12">
        <v>222200</v>
      </c>
      <c r="P386" s="10">
        <f t="shared" si="53"/>
        <v>0</v>
      </c>
    </row>
    <row r="387" spans="1:16" s="14" customFormat="1" ht="15.75" customHeight="1" x14ac:dyDescent="0.25">
      <c r="A387" s="17">
        <v>46255</v>
      </c>
      <c r="B387" s="116" t="s">
        <v>4</v>
      </c>
      <c r="C387" s="18">
        <v>878</v>
      </c>
      <c r="D387" s="12">
        <v>359900</v>
      </c>
      <c r="E387" s="12">
        <v>188500</v>
      </c>
      <c r="F387" s="12">
        <v>0</v>
      </c>
      <c r="G387" s="12">
        <v>168500</v>
      </c>
      <c r="H387" s="19">
        <f t="shared" si="64"/>
        <v>357000</v>
      </c>
      <c r="I387" s="9">
        <f t="shared" si="61"/>
        <v>716900</v>
      </c>
      <c r="J387" s="12">
        <v>0</v>
      </c>
      <c r="K387" s="12">
        <v>218300</v>
      </c>
      <c r="L387" s="12">
        <v>0</v>
      </c>
      <c r="M387" s="20">
        <f t="shared" si="62"/>
        <v>357000</v>
      </c>
      <c r="N387" s="13">
        <f t="shared" si="63"/>
        <v>141600</v>
      </c>
      <c r="O387" s="12">
        <v>141600</v>
      </c>
      <c r="P387" s="10">
        <f t="shared" si="53"/>
        <v>0</v>
      </c>
    </row>
    <row r="388" spans="1:16" s="14" customFormat="1" ht="15.75" customHeight="1" x14ac:dyDescent="0.25">
      <c r="A388" s="17">
        <v>46255</v>
      </c>
      <c r="B388" s="116" t="s">
        <v>5</v>
      </c>
      <c r="C388" s="18">
        <v>879</v>
      </c>
      <c r="D388" s="12">
        <v>126400</v>
      </c>
      <c r="E388" s="12">
        <v>33000</v>
      </c>
      <c r="F388" s="12">
        <v>16800</v>
      </c>
      <c r="G388" s="12">
        <v>52000</v>
      </c>
      <c r="H388" s="19">
        <f t="shared" si="64"/>
        <v>101800</v>
      </c>
      <c r="I388" s="9">
        <f t="shared" si="61"/>
        <v>228200</v>
      </c>
      <c r="J388" s="12">
        <v>0</v>
      </c>
      <c r="K388" s="12">
        <v>222399</v>
      </c>
      <c r="L388" s="12">
        <v>0</v>
      </c>
      <c r="M388" s="20">
        <f t="shared" si="62"/>
        <v>101800</v>
      </c>
      <c r="N388" s="13">
        <f t="shared" si="63"/>
        <v>-95999</v>
      </c>
      <c r="O388" s="12">
        <v>95999</v>
      </c>
      <c r="P388" s="10">
        <f>P426</f>
        <v>0</v>
      </c>
    </row>
    <row r="389" spans="1:16" s="14" customFormat="1" ht="15.75" customHeight="1" x14ac:dyDescent="0.25">
      <c r="A389" s="17">
        <v>46256</v>
      </c>
      <c r="B389" s="17" t="s">
        <v>4</v>
      </c>
      <c r="C389" s="18">
        <v>880</v>
      </c>
      <c r="D389" s="12">
        <v>366900</v>
      </c>
      <c r="E389" s="12">
        <v>501100</v>
      </c>
      <c r="F389" s="12">
        <v>16000</v>
      </c>
      <c r="G389" s="12">
        <v>143000</v>
      </c>
      <c r="H389" s="19">
        <f t="shared" si="64"/>
        <v>660100</v>
      </c>
      <c r="I389" s="9">
        <f t="shared" si="61"/>
        <v>1027000</v>
      </c>
      <c r="J389" s="12">
        <v>0</v>
      </c>
      <c r="K389" s="12">
        <v>109728</v>
      </c>
      <c r="L389" s="12">
        <v>36500</v>
      </c>
      <c r="M389" s="20">
        <f t="shared" si="62"/>
        <v>660100</v>
      </c>
      <c r="N389" s="13">
        <f t="shared" si="63"/>
        <v>257172</v>
      </c>
      <c r="O389" s="12">
        <v>257700</v>
      </c>
      <c r="P389" s="10">
        <f t="shared" si="53"/>
        <v>528</v>
      </c>
    </row>
    <row r="390" spans="1:16" s="14" customFormat="1" ht="15.75" customHeight="1" x14ac:dyDescent="0.25">
      <c r="A390" s="17">
        <v>46257</v>
      </c>
      <c r="B390" s="17" t="s">
        <v>5</v>
      </c>
      <c r="C390" s="18">
        <v>881</v>
      </c>
      <c r="D390" s="12">
        <v>410100</v>
      </c>
      <c r="E390" s="12">
        <v>56800</v>
      </c>
      <c r="F390" s="12">
        <v>0</v>
      </c>
      <c r="G390" s="12">
        <v>128400</v>
      </c>
      <c r="H390" s="19">
        <f t="shared" si="64"/>
        <v>185200</v>
      </c>
      <c r="I390" s="9">
        <f t="shared" si="61"/>
        <v>595300</v>
      </c>
      <c r="J390" s="12">
        <v>0</v>
      </c>
      <c r="K390" s="12">
        <v>0</v>
      </c>
      <c r="L390" s="12">
        <v>0</v>
      </c>
      <c r="M390" s="20">
        <f t="shared" si="62"/>
        <v>185200</v>
      </c>
      <c r="N390" s="13">
        <f t="shared" si="63"/>
        <v>410100</v>
      </c>
      <c r="O390" s="12">
        <v>410100</v>
      </c>
      <c r="P390" s="10">
        <f t="shared" si="53"/>
        <v>0</v>
      </c>
    </row>
    <row r="391" spans="1:16" s="14" customFormat="1" ht="15.75" customHeight="1" x14ac:dyDescent="0.25">
      <c r="A391" s="17">
        <v>46258</v>
      </c>
      <c r="B391" s="115" t="s">
        <v>5</v>
      </c>
      <c r="C391" s="18">
        <v>882</v>
      </c>
      <c r="D391" s="12">
        <v>282300</v>
      </c>
      <c r="E391" s="12">
        <v>48500</v>
      </c>
      <c r="F391" s="12">
        <v>65500</v>
      </c>
      <c r="G391" s="12">
        <v>13500</v>
      </c>
      <c r="H391" s="19">
        <f t="shared" si="64"/>
        <v>127500</v>
      </c>
      <c r="I391" s="9">
        <f t="shared" si="61"/>
        <v>409800</v>
      </c>
      <c r="J391" s="12">
        <v>0</v>
      </c>
      <c r="K391" s="12">
        <v>3000</v>
      </c>
      <c r="L391" s="12">
        <f>12000+162000</f>
        <v>174000</v>
      </c>
      <c r="M391" s="20">
        <f t="shared" si="62"/>
        <v>127500</v>
      </c>
      <c r="N391" s="13">
        <f t="shared" si="63"/>
        <v>279300</v>
      </c>
      <c r="O391" s="12">
        <v>279400</v>
      </c>
      <c r="P391" s="10">
        <f t="shared" si="53"/>
        <v>100</v>
      </c>
    </row>
    <row r="392" spans="1:16" s="14" customFormat="1" ht="15.75" customHeight="1" x14ac:dyDescent="0.25">
      <c r="A392" s="17">
        <v>24</v>
      </c>
      <c r="B392" s="17" t="s">
        <v>4</v>
      </c>
      <c r="C392" s="18">
        <v>883</v>
      </c>
      <c r="D392" s="12">
        <v>317400</v>
      </c>
      <c r="E392" s="12">
        <v>234000</v>
      </c>
      <c r="F392" s="12">
        <v>42000</v>
      </c>
      <c r="G392" s="12">
        <v>195900</v>
      </c>
      <c r="H392" s="19">
        <f t="shared" si="64"/>
        <v>471900</v>
      </c>
      <c r="I392" s="9">
        <f t="shared" si="61"/>
        <v>789300</v>
      </c>
      <c r="J392" s="12">
        <v>0</v>
      </c>
      <c r="K392" s="12">
        <v>6000</v>
      </c>
      <c r="L392" s="12">
        <v>0</v>
      </c>
      <c r="M392" s="20">
        <f t="shared" si="62"/>
        <v>471900</v>
      </c>
      <c r="N392" s="13">
        <f t="shared" si="63"/>
        <v>311400</v>
      </c>
      <c r="O392" s="12">
        <v>311400</v>
      </c>
      <c r="P392" s="10">
        <f t="shared" si="53"/>
        <v>0</v>
      </c>
    </row>
    <row r="393" spans="1:16" s="14" customFormat="1" ht="15.75" customHeight="1" x14ac:dyDescent="0.25">
      <c r="A393" s="17">
        <v>46259</v>
      </c>
      <c r="B393" s="115" t="s">
        <v>5</v>
      </c>
      <c r="C393" s="18">
        <v>884</v>
      </c>
      <c r="D393" s="12">
        <v>116100</v>
      </c>
      <c r="E393" s="12">
        <v>18000</v>
      </c>
      <c r="F393" s="12">
        <v>90000</v>
      </c>
      <c r="G393" s="12">
        <v>95800</v>
      </c>
      <c r="H393" s="19">
        <f t="shared" si="64"/>
        <v>203800</v>
      </c>
      <c r="I393" s="9">
        <f t="shared" si="61"/>
        <v>319900</v>
      </c>
      <c r="J393" s="12">
        <v>1883050</v>
      </c>
      <c r="K393" s="12">
        <v>0</v>
      </c>
      <c r="L393" s="12">
        <f>1668700+10000</f>
        <v>1678700</v>
      </c>
      <c r="M393" s="20">
        <f t="shared" si="62"/>
        <v>-1679250</v>
      </c>
      <c r="N393" s="13">
        <f t="shared" si="63"/>
        <v>116100</v>
      </c>
      <c r="O393" s="12">
        <v>116100</v>
      </c>
      <c r="P393" s="10">
        <f t="shared" si="53"/>
        <v>0</v>
      </c>
    </row>
    <row r="394" spans="1:16" s="14" customFormat="1" ht="15.75" customHeight="1" x14ac:dyDescent="0.25">
      <c r="A394" s="17">
        <v>46259</v>
      </c>
      <c r="B394" s="17" t="s">
        <v>4</v>
      </c>
      <c r="C394" s="18">
        <v>885</v>
      </c>
      <c r="D394" s="12">
        <v>292500</v>
      </c>
      <c r="E394" s="12">
        <v>197500</v>
      </c>
      <c r="F394" s="12">
        <v>15000</v>
      </c>
      <c r="G394" s="12">
        <v>265500</v>
      </c>
      <c r="H394" s="19">
        <f t="shared" si="64"/>
        <v>478000</v>
      </c>
      <c r="I394" s="9">
        <f t="shared" si="61"/>
        <v>770500</v>
      </c>
      <c r="J394" s="12">
        <v>0</v>
      </c>
      <c r="K394" s="12">
        <v>0</v>
      </c>
      <c r="L394" s="12">
        <v>0</v>
      </c>
      <c r="M394" s="20">
        <f t="shared" si="62"/>
        <v>478000</v>
      </c>
      <c r="N394" s="13">
        <f t="shared" si="63"/>
        <v>292500</v>
      </c>
      <c r="O394" s="12">
        <v>292500</v>
      </c>
      <c r="P394" s="10">
        <f t="shared" si="53"/>
        <v>0</v>
      </c>
    </row>
    <row r="395" spans="1:16" s="14" customFormat="1" ht="15.75" customHeight="1" x14ac:dyDescent="0.25">
      <c r="A395" s="17">
        <v>46260</v>
      </c>
      <c r="B395" s="115" t="s">
        <v>5</v>
      </c>
      <c r="C395" s="18">
        <v>886</v>
      </c>
      <c r="D395" s="12">
        <v>225300</v>
      </c>
      <c r="E395" s="12">
        <v>107000</v>
      </c>
      <c r="F395" s="12">
        <v>0</v>
      </c>
      <c r="G395" s="12">
        <v>59500</v>
      </c>
      <c r="H395" s="19">
        <f t="shared" si="64"/>
        <v>166500</v>
      </c>
      <c r="I395" s="9">
        <f t="shared" si="61"/>
        <v>391800</v>
      </c>
      <c r="J395" s="12">
        <v>0</v>
      </c>
      <c r="K395" s="12">
        <v>0</v>
      </c>
      <c r="L395" s="12">
        <v>0</v>
      </c>
      <c r="M395" s="20">
        <f t="shared" si="62"/>
        <v>166500</v>
      </c>
      <c r="N395" s="13">
        <f t="shared" si="63"/>
        <v>225300</v>
      </c>
      <c r="O395" s="12">
        <v>225400</v>
      </c>
      <c r="P395" s="10">
        <f t="shared" si="53"/>
        <v>100</v>
      </c>
    </row>
    <row r="396" spans="1:16" s="14" customFormat="1" ht="15.75" customHeight="1" x14ac:dyDescent="0.25">
      <c r="A396" s="17">
        <v>46260</v>
      </c>
      <c r="B396" s="17" t="s">
        <v>4</v>
      </c>
      <c r="C396" s="18">
        <v>887</v>
      </c>
      <c r="D396" s="12">
        <v>393900</v>
      </c>
      <c r="E396" s="12">
        <v>57500</v>
      </c>
      <c r="F396" s="12">
        <v>0</v>
      </c>
      <c r="G396" s="12">
        <v>80500</v>
      </c>
      <c r="H396" s="19">
        <f t="shared" si="64"/>
        <v>138000</v>
      </c>
      <c r="I396" s="9">
        <f t="shared" si="61"/>
        <v>531900</v>
      </c>
      <c r="J396" s="12">
        <v>0</v>
      </c>
      <c r="K396" s="12">
        <v>3000</v>
      </c>
      <c r="L396" s="12">
        <v>0</v>
      </c>
      <c r="M396" s="20">
        <f t="shared" si="62"/>
        <v>138000</v>
      </c>
      <c r="N396" s="13">
        <f t="shared" si="63"/>
        <v>390900</v>
      </c>
      <c r="O396" s="12">
        <v>391000</v>
      </c>
      <c r="P396" s="10">
        <f t="shared" si="53"/>
        <v>100</v>
      </c>
    </row>
    <row r="397" spans="1:16" s="14" customFormat="1" ht="15.75" customHeight="1" x14ac:dyDescent="0.25">
      <c r="A397" s="17">
        <v>46261</v>
      </c>
      <c r="B397" s="115" t="s">
        <v>173</v>
      </c>
      <c r="C397" s="18">
        <v>888</v>
      </c>
      <c r="D397" s="12">
        <v>117300</v>
      </c>
      <c r="E397" s="12">
        <v>12500</v>
      </c>
      <c r="F397" s="12">
        <v>0</v>
      </c>
      <c r="G397" s="12">
        <v>24500</v>
      </c>
      <c r="H397" s="19">
        <f t="shared" si="64"/>
        <v>37000</v>
      </c>
      <c r="I397" s="9">
        <f t="shared" si="61"/>
        <v>154300</v>
      </c>
      <c r="J397" s="12">
        <v>0</v>
      </c>
      <c r="K397" s="12">
        <v>0</v>
      </c>
      <c r="L397" s="12">
        <v>56000</v>
      </c>
      <c r="M397" s="20">
        <f t="shared" si="62"/>
        <v>37000</v>
      </c>
      <c r="N397" s="13">
        <f t="shared" si="63"/>
        <v>117300</v>
      </c>
      <c r="O397" s="12">
        <v>117300</v>
      </c>
      <c r="P397" s="10">
        <f t="shared" si="53"/>
        <v>0</v>
      </c>
    </row>
    <row r="398" spans="1:16" s="14" customFormat="1" ht="15.75" customHeight="1" x14ac:dyDescent="0.25">
      <c r="A398" s="17">
        <v>46261</v>
      </c>
      <c r="B398" s="17" t="s">
        <v>4</v>
      </c>
      <c r="C398" s="18">
        <v>889</v>
      </c>
      <c r="D398" s="12">
        <v>475800</v>
      </c>
      <c r="E398" s="12">
        <v>97500</v>
      </c>
      <c r="F398" s="12">
        <v>237000</v>
      </c>
      <c r="G398" s="12">
        <v>689000</v>
      </c>
      <c r="H398" s="19">
        <f t="shared" si="64"/>
        <v>1023500</v>
      </c>
      <c r="I398" s="9">
        <f t="shared" si="61"/>
        <v>1499300</v>
      </c>
      <c r="J398" s="12">
        <v>0</v>
      </c>
      <c r="K398" s="12">
        <v>6000</v>
      </c>
      <c r="L398" s="12">
        <v>0</v>
      </c>
      <c r="M398" s="20">
        <f t="shared" si="62"/>
        <v>1023500</v>
      </c>
      <c r="N398" s="13">
        <f t="shared" si="63"/>
        <v>469800</v>
      </c>
      <c r="O398" s="12">
        <v>469800</v>
      </c>
      <c r="P398" s="10">
        <f t="shared" si="53"/>
        <v>0</v>
      </c>
    </row>
    <row r="399" spans="1:16" s="14" customFormat="1" ht="15.75" customHeight="1" x14ac:dyDescent="0.25">
      <c r="A399" s="17">
        <v>46262</v>
      </c>
      <c r="B399" s="115" t="s">
        <v>173</v>
      </c>
      <c r="C399" s="18">
        <v>890</v>
      </c>
      <c r="D399" s="12">
        <v>387000</v>
      </c>
      <c r="E399" s="12">
        <v>27000</v>
      </c>
      <c r="F399" s="12">
        <v>20000</v>
      </c>
      <c r="G399" s="12">
        <v>25000</v>
      </c>
      <c r="H399" s="19">
        <f t="shared" si="64"/>
        <v>72000</v>
      </c>
      <c r="I399" s="9">
        <f t="shared" si="61"/>
        <v>459000</v>
      </c>
      <c r="J399" s="12">
        <v>0</v>
      </c>
      <c r="K399" s="12">
        <v>0</v>
      </c>
      <c r="L399" s="12">
        <v>600000</v>
      </c>
      <c r="M399" s="20">
        <f t="shared" si="62"/>
        <v>72000</v>
      </c>
      <c r="N399" s="13">
        <f t="shared" si="63"/>
        <v>387000</v>
      </c>
      <c r="O399" s="12">
        <v>387000</v>
      </c>
      <c r="P399" s="10">
        <f t="shared" si="53"/>
        <v>0</v>
      </c>
    </row>
    <row r="400" spans="1:16" s="14" customFormat="1" ht="15.75" customHeight="1" x14ac:dyDescent="0.25">
      <c r="A400" s="17">
        <v>46262</v>
      </c>
      <c r="B400" s="17" t="s">
        <v>4</v>
      </c>
      <c r="C400" s="18">
        <v>891</v>
      </c>
      <c r="D400" s="12">
        <v>394400</v>
      </c>
      <c r="E400" s="12">
        <v>99500</v>
      </c>
      <c r="F400" s="12">
        <v>11000</v>
      </c>
      <c r="G400" s="12">
        <v>119900</v>
      </c>
      <c r="H400" s="19">
        <f t="shared" si="64"/>
        <v>230400</v>
      </c>
      <c r="I400" s="9">
        <f t="shared" si="61"/>
        <v>624800</v>
      </c>
      <c r="J400" s="12">
        <v>0</v>
      </c>
      <c r="K400" s="12">
        <v>20499</v>
      </c>
      <c r="L400" s="12">
        <v>10000</v>
      </c>
      <c r="M400" s="20">
        <f t="shared" si="62"/>
        <v>230400</v>
      </c>
      <c r="N400" s="13">
        <f t="shared" si="63"/>
        <v>373901</v>
      </c>
      <c r="O400" s="12">
        <v>374000</v>
      </c>
      <c r="P400" s="10">
        <f t="shared" si="53"/>
        <v>99</v>
      </c>
    </row>
    <row r="401" spans="1:16" s="14" customFormat="1" ht="15.75" customHeight="1" x14ac:dyDescent="0.25">
      <c r="A401" s="17">
        <v>46263</v>
      </c>
      <c r="B401" s="17" t="s">
        <v>173</v>
      </c>
      <c r="C401" s="18">
        <v>892</v>
      </c>
      <c r="D401" s="12">
        <v>552748</v>
      </c>
      <c r="E401" s="12">
        <v>217100</v>
      </c>
      <c r="F401" s="12">
        <v>87000</v>
      </c>
      <c r="G401" s="12">
        <v>394000</v>
      </c>
      <c r="H401" s="19">
        <f t="shared" si="64"/>
        <v>698100</v>
      </c>
      <c r="I401" s="9">
        <f t="shared" si="61"/>
        <v>1250848</v>
      </c>
      <c r="J401" s="12">
        <v>0</v>
      </c>
      <c r="K401" s="12">
        <v>71142</v>
      </c>
      <c r="L401" s="12">
        <v>0</v>
      </c>
      <c r="M401" s="20">
        <f t="shared" si="62"/>
        <v>698100</v>
      </c>
      <c r="N401" s="13">
        <f t="shared" si="63"/>
        <v>481606</v>
      </c>
      <c r="O401" s="12">
        <v>481700</v>
      </c>
      <c r="P401" s="10">
        <f t="shared" si="53"/>
        <v>94</v>
      </c>
    </row>
    <row r="402" spans="1:16" s="14" customFormat="1" ht="15.75" customHeight="1" x14ac:dyDescent="0.25">
      <c r="A402" s="17" t="s">
        <v>372</v>
      </c>
      <c r="B402" s="17" t="s">
        <v>4</v>
      </c>
      <c r="C402" s="18">
        <v>893</v>
      </c>
      <c r="D402" s="12">
        <v>429400</v>
      </c>
      <c r="E402" s="12">
        <v>42000</v>
      </c>
      <c r="F402" s="12">
        <v>50500</v>
      </c>
      <c r="G402" s="12">
        <v>167200</v>
      </c>
      <c r="H402" s="19">
        <f t="shared" si="64"/>
        <v>259700</v>
      </c>
      <c r="I402" s="9">
        <f t="shared" si="61"/>
        <v>689100</v>
      </c>
      <c r="J402" s="12">
        <v>0</v>
      </c>
      <c r="K402" s="12">
        <v>0</v>
      </c>
      <c r="L402" s="12">
        <f>150000+150000+50000+50000</f>
        <v>400000</v>
      </c>
      <c r="M402" s="20">
        <f t="shared" si="62"/>
        <v>259700</v>
      </c>
      <c r="N402" s="13">
        <f t="shared" si="63"/>
        <v>429400</v>
      </c>
      <c r="O402" s="12">
        <v>429400</v>
      </c>
      <c r="P402" s="10">
        <f t="shared" si="53"/>
        <v>0</v>
      </c>
    </row>
    <row r="403" spans="1:16" s="14" customFormat="1" ht="15.75" customHeight="1" x14ac:dyDescent="0.25">
      <c r="A403" s="17">
        <v>46265</v>
      </c>
      <c r="B403" s="17" t="s">
        <v>4</v>
      </c>
      <c r="C403" s="18">
        <v>894</v>
      </c>
      <c r="D403" s="12">
        <v>195200</v>
      </c>
      <c r="E403" s="12">
        <v>15000</v>
      </c>
      <c r="F403" s="12">
        <v>0</v>
      </c>
      <c r="G403" s="12">
        <v>38000</v>
      </c>
      <c r="H403" s="19">
        <f t="shared" si="64"/>
        <v>53000</v>
      </c>
      <c r="I403" s="9">
        <f t="shared" si="61"/>
        <v>248200</v>
      </c>
      <c r="J403" s="12">
        <v>1616900</v>
      </c>
      <c r="K403" s="12">
        <v>0</v>
      </c>
      <c r="L403" s="12">
        <f>2061500+44000</f>
        <v>2105500</v>
      </c>
      <c r="M403" s="20">
        <f t="shared" si="62"/>
        <v>-1563900</v>
      </c>
      <c r="N403" s="13">
        <f t="shared" si="63"/>
        <v>195200</v>
      </c>
      <c r="O403" s="12">
        <v>195200</v>
      </c>
      <c r="P403" s="10">
        <f t="shared" si="53"/>
        <v>0</v>
      </c>
    </row>
    <row r="404" spans="1:16" s="14" customFormat="1" ht="15.75" customHeight="1" x14ac:dyDescent="0.25">
      <c r="A404" s="17">
        <v>46265</v>
      </c>
      <c r="B404" s="17" t="s">
        <v>5</v>
      </c>
      <c r="C404" s="18">
        <v>895</v>
      </c>
      <c r="D404" s="12">
        <v>250100</v>
      </c>
      <c r="E404" s="12">
        <v>0</v>
      </c>
      <c r="F404" s="12">
        <v>0</v>
      </c>
      <c r="G404" s="12">
        <v>127000</v>
      </c>
      <c r="H404" s="19">
        <f t="shared" si="64"/>
        <v>127000</v>
      </c>
      <c r="I404" s="9">
        <f t="shared" si="61"/>
        <v>377100</v>
      </c>
      <c r="J404" s="12">
        <v>1557782</v>
      </c>
      <c r="K404" s="12">
        <v>76000</v>
      </c>
      <c r="L404" s="12">
        <v>99373</v>
      </c>
      <c r="M404" s="20">
        <f t="shared" si="62"/>
        <v>-1430782</v>
      </c>
      <c r="N404" s="13">
        <f t="shared" si="63"/>
        <v>174100</v>
      </c>
      <c r="O404" s="12">
        <v>174200</v>
      </c>
      <c r="P404" s="10">
        <f t="shared" si="53"/>
        <v>100</v>
      </c>
    </row>
    <row r="405" spans="1:16" s="14" customFormat="1" ht="15.75" customHeight="1" x14ac:dyDescent="0.25">
      <c r="A405" s="17">
        <v>46266</v>
      </c>
      <c r="B405" s="17" t="s">
        <v>4</v>
      </c>
      <c r="C405" s="18">
        <v>896</v>
      </c>
      <c r="D405" s="12">
        <v>241900</v>
      </c>
      <c r="E405" s="12">
        <v>122000</v>
      </c>
      <c r="F405" s="12">
        <v>130000</v>
      </c>
      <c r="G405" s="12">
        <v>341000</v>
      </c>
      <c r="H405" s="19">
        <f t="shared" si="64"/>
        <v>593000</v>
      </c>
      <c r="I405" s="9">
        <f t="shared" si="61"/>
        <v>834900</v>
      </c>
      <c r="J405" s="12">
        <v>0</v>
      </c>
      <c r="K405" s="12">
        <v>3000</v>
      </c>
      <c r="L405" s="12">
        <f>175000+59900</f>
        <v>234900</v>
      </c>
      <c r="M405" s="20">
        <f t="shared" si="62"/>
        <v>593000</v>
      </c>
      <c r="N405" s="13">
        <f t="shared" si="63"/>
        <v>238900</v>
      </c>
      <c r="O405" s="12">
        <v>238900</v>
      </c>
      <c r="P405" s="10">
        <f t="shared" si="53"/>
        <v>0</v>
      </c>
    </row>
    <row r="406" spans="1:16" s="14" customFormat="1" ht="15.75" customHeight="1" x14ac:dyDescent="0.25">
      <c r="A406" s="17">
        <v>46266</v>
      </c>
      <c r="B406" s="17" t="s">
        <v>173</v>
      </c>
      <c r="C406" s="18">
        <v>897</v>
      </c>
      <c r="D406" s="12">
        <v>361300</v>
      </c>
      <c r="E406" s="12">
        <v>116100</v>
      </c>
      <c r="F406" s="12">
        <v>0</v>
      </c>
      <c r="G406" s="12">
        <v>134000</v>
      </c>
      <c r="H406" s="19">
        <f t="shared" si="64"/>
        <v>250100</v>
      </c>
      <c r="I406" s="9">
        <f t="shared" si="61"/>
        <v>611400</v>
      </c>
      <c r="J406" s="12">
        <v>0</v>
      </c>
      <c r="K406" s="12">
        <v>11500</v>
      </c>
      <c r="L406" s="12">
        <v>0</v>
      </c>
      <c r="M406" s="20">
        <f t="shared" si="62"/>
        <v>250100</v>
      </c>
      <c r="N406" s="13">
        <f t="shared" si="63"/>
        <v>349800</v>
      </c>
      <c r="O406" s="12">
        <v>349800</v>
      </c>
      <c r="P406" s="10">
        <f t="shared" si="53"/>
        <v>0</v>
      </c>
    </row>
    <row r="407" spans="1:16" s="14" customFormat="1" ht="15.75" customHeight="1" x14ac:dyDescent="0.25">
      <c r="A407" s="17">
        <v>46267</v>
      </c>
      <c r="B407" s="17" t="s">
        <v>4</v>
      </c>
      <c r="C407" s="18">
        <v>898</v>
      </c>
      <c r="D407" s="12">
        <v>213400</v>
      </c>
      <c r="E407" s="12">
        <v>25000</v>
      </c>
      <c r="F407" s="12">
        <v>0</v>
      </c>
      <c r="G407" s="12">
        <v>15000</v>
      </c>
      <c r="H407" s="19">
        <f t="shared" si="64"/>
        <v>40000</v>
      </c>
      <c r="I407" s="9">
        <f t="shared" si="61"/>
        <v>253400</v>
      </c>
      <c r="J407" s="12">
        <v>0</v>
      </c>
      <c r="K407" s="12">
        <v>0</v>
      </c>
      <c r="L407" s="12">
        <f>171400+512600+120000</f>
        <v>804000</v>
      </c>
      <c r="M407" s="20">
        <f t="shared" si="62"/>
        <v>40000</v>
      </c>
      <c r="N407" s="13">
        <f t="shared" si="63"/>
        <v>213400</v>
      </c>
      <c r="O407" s="12">
        <v>213400</v>
      </c>
      <c r="P407" s="10">
        <f t="shared" si="53"/>
        <v>0</v>
      </c>
    </row>
    <row r="408" spans="1:16" s="14" customFormat="1" ht="15.75" customHeight="1" x14ac:dyDescent="0.25">
      <c r="A408" s="17">
        <v>46236</v>
      </c>
      <c r="B408" s="17" t="s">
        <v>173</v>
      </c>
      <c r="C408" s="18">
        <v>899</v>
      </c>
      <c r="D408" s="12">
        <v>377200</v>
      </c>
      <c r="E408" s="12">
        <v>284700</v>
      </c>
      <c r="F408" s="12">
        <v>38000</v>
      </c>
      <c r="G408" s="12">
        <v>65000</v>
      </c>
      <c r="H408" s="19">
        <f t="shared" si="64"/>
        <v>387700</v>
      </c>
      <c r="I408" s="9">
        <f t="shared" si="61"/>
        <v>764900</v>
      </c>
      <c r="J408" s="12">
        <v>0</v>
      </c>
      <c r="K408" s="12">
        <v>0</v>
      </c>
      <c r="L408" s="12">
        <v>61400</v>
      </c>
      <c r="M408" s="20">
        <f t="shared" si="62"/>
        <v>387700</v>
      </c>
      <c r="N408" s="13">
        <f t="shared" si="63"/>
        <v>377200</v>
      </c>
      <c r="O408" s="12">
        <v>377200</v>
      </c>
      <c r="P408" s="10">
        <f t="shared" si="53"/>
        <v>0</v>
      </c>
    </row>
    <row r="409" spans="1:16" s="14" customFormat="1" ht="15.75" customHeight="1" x14ac:dyDescent="0.25">
      <c r="A409" s="17">
        <v>46268</v>
      </c>
      <c r="B409" s="17" t="s">
        <v>4</v>
      </c>
      <c r="C409" s="18">
        <v>900</v>
      </c>
      <c r="D409" s="12">
        <v>114800</v>
      </c>
      <c r="E409" s="12">
        <v>194500</v>
      </c>
      <c r="F409" s="12">
        <v>0</v>
      </c>
      <c r="G409" s="12">
        <v>759800</v>
      </c>
      <c r="H409" s="19">
        <f t="shared" si="64"/>
        <v>954300</v>
      </c>
      <c r="I409" s="9">
        <f t="shared" si="61"/>
        <v>1069100</v>
      </c>
      <c r="J409" s="12">
        <v>0</v>
      </c>
      <c r="K409" s="12">
        <v>2000</v>
      </c>
      <c r="L409" s="12">
        <v>0</v>
      </c>
      <c r="M409" s="20">
        <f t="shared" si="62"/>
        <v>954300</v>
      </c>
      <c r="N409" s="13">
        <f t="shared" si="63"/>
        <v>112800</v>
      </c>
      <c r="O409" s="12">
        <v>112800</v>
      </c>
      <c r="P409" s="10">
        <f t="shared" si="53"/>
        <v>0</v>
      </c>
    </row>
    <row r="410" spans="1:16" s="14" customFormat="1" ht="15.75" customHeight="1" x14ac:dyDescent="0.25">
      <c r="A410" s="17">
        <v>46268</v>
      </c>
      <c r="B410" s="17" t="s">
        <v>5</v>
      </c>
      <c r="C410" s="18">
        <v>901</v>
      </c>
      <c r="D410" s="12">
        <v>345400</v>
      </c>
      <c r="E410" s="12">
        <v>193000</v>
      </c>
      <c r="F410" s="12">
        <v>0</v>
      </c>
      <c r="G410" s="12">
        <v>173700</v>
      </c>
      <c r="H410" s="19">
        <f t="shared" si="64"/>
        <v>366700</v>
      </c>
      <c r="I410" s="9">
        <f t="shared" si="61"/>
        <v>712100</v>
      </c>
      <c r="J410" s="12">
        <v>0</v>
      </c>
      <c r="K410" s="12">
        <v>4000</v>
      </c>
      <c r="L410" s="12">
        <v>0</v>
      </c>
      <c r="M410" s="20">
        <f t="shared" si="62"/>
        <v>366700</v>
      </c>
      <c r="N410" s="13">
        <f>D410-K410</f>
        <v>341400</v>
      </c>
      <c r="O410" s="12">
        <v>341400</v>
      </c>
      <c r="P410" s="10">
        <f>(N410-O410)*(-1)</f>
        <v>0</v>
      </c>
    </row>
    <row r="411" spans="1:16" s="14" customFormat="1" ht="15.75" customHeight="1" x14ac:dyDescent="0.25">
      <c r="A411" s="17">
        <v>46269</v>
      </c>
      <c r="B411" s="17" t="s">
        <v>4</v>
      </c>
      <c r="C411" s="18">
        <v>902</v>
      </c>
      <c r="D411" s="12">
        <v>287700</v>
      </c>
      <c r="E411" s="12">
        <v>76000</v>
      </c>
      <c r="F411" s="12">
        <v>0</v>
      </c>
      <c r="G411" s="12">
        <v>37500</v>
      </c>
      <c r="H411" s="19">
        <f t="shared" si="64"/>
        <v>113500</v>
      </c>
      <c r="I411" s="9">
        <f t="shared" si="61"/>
        <v>401200</v>
      </c>
      <c r="J411" s="12">
        <v>0</v>
      </c>
      <c r="K411" s="12">
        <v>1000</v>
      </c>
      <c r="L411" s="12">
        <v>300800</v>
      </c>
      <c r="M411" s="20">
        <f t="shared" si="62"/>
        <v>113500</v>
      </c>
      <c r="N411" s="13">
        <f t="shared" ref="N411:N423" si="65">D411-K411</f>
        <v>286700</v>
      </c>
      <c r="O411" s="12">
        <v>286700</v>
      </c>
      <c r="P411" s="10">
        <f t="shared" ref="P411:P423" si="66">(N411-O411)*(-1)</f>
        <v>0</v>
      </c>
    </row>
    <row r="412" spans="1:16" s="14" customFormat="1" ht="15.75" customHeight="1" x14ac:dyDescent="0.25">
      <c r="A412" s="17">
        <v>46269</v>
      </c>
      <c r="B412" s="17" t="s">
        <v>5</v>
      </c>
      <c r="C412" s="18">
        <v>903</v>
      </c>
      <c r="D412" s="12">
        <v>289300</v>
      </c>
      <c r="E412" s="12">
        <v>312500</v>
      </c>
      <c r="F412" s="12">
        <v>17000</v>
      </c>
      <c r="G412" s="12">
        <v>61000</v>
      </c>
      <c r="H412" s="19">
        <f t="shared" si="64"/>
        <v>390500</v>
      </c>
      <c r="I412" s="9">
        <f t="shared" si="61"/>
        <v>679800</v>
      </c>
      <c r="J412" s="12">
        <v>0</v>
      </c>
      <c r="K412" s="12">
        <v>0</v>
      </c>
      <c r="L412" s="12">
        <v>0</v>
      </c>
      <c r="M412" s="20">
        <f t="shared" si="62"/>
        <v>390500</v>
      </c>
      <c r="N412" s="13">
        <f t="shared" si="65"/>
        <v>289300</v>
      </c>
      <c r="O412" s="12">
        <v>289300</v>
      </c>
      <c r="P412" s="10">
        <f t="shared" si="66"/>
        <v>0</v>
      </c>
    </row>
    <row r="413" spans="1:16" s="14" customFormat="1" ht="15.75" customHeight="1" x14ac:dyDescent="0.25">
      <c r="A413" s="17">
        <v>46270</v>
      </c>
      <c r="B413" s="17" t="s">
        <v>4</v>
      </c>
      <c r="C413" s="18">
        <v>904</v>
      </c>
      <c r="D413" s="12">
        <v>369000</v>
      </c>
      <c r="E413" s="12">
        <v>262100</v>
      </c>
      <c r="F413" s="12">
        <v>27200</v>
      </c>
      <c r="G413" s="12">
        <v>213700</v>
      </c>
      <c r="H413" s="19">
        <f t="shared" si="64"/>
        <v>503000</v>
      </c>
      <c r="I413" s="9">
        <f t="shared" si="61"/>
        <v>872000</v>
      </c>
      <c r="J413" s="12">
        <v>3000000</v>
      </c>
      <c r="K413" s="12">
        <v>0</v>
      </c>
      <c r="L413" s="12">
        <f>500000+117400</f>
        <v>617400</v>
      </c>
      <c r="M413" s="20">
        <f t="shared" si="62"/>
        <v>-2497000</v>
      </c>
      <c r="N413" s="13">
        <f t="shared" si="65"/>
        <v>369000</v>
      </c>
      <c r="O413" s="12">
        <v>369000</v>
      </c>
      <c r="P413" s="10">
        <f t="shared" si="66"/>
        <v>0</v>
      </c>
    </row>
    <row r="414" spans="1:16" s="14" customFormat="1" ht="15.75" customHeight="1" x14ac:dyDescent="0.25">
      <c r="A414" s="17">
        <v>46271</v>
      </c>
      <c r="B414" s="17" t="s">
        <v>5</v>
      </c>
      <c r="C414" s="18">
        <v>905</v>
      </c>
      <c r="D414" s="12">
        <v>364200</v>
      </c>
      <c r="E414" s="12">
        <v>155600</v>
      </c>
      <c r="F414" s="12">
        <v>0</v>
      </c>
      <c r="G414" s="12">
        <v>39500</v>
      </c>
      <c r="H414" s="19">
        <f t="shared" si="64"/>
        <v>195100</v>
      </c>
      <c r="I414" s="9">
        <f t="shared" si="61"/>
        <v>559300</v>
      </c>
      <c r="J414" s="12">
        <v>0</v>
      </c>
      <c r="K414" s="12">
        <v>0</v>
      </c>
      <c r="L414" s="12">
        <v>0</v>
      </c>
      <c r="M414" s="20">
        <f t="shared" si="62"/>
        <v>195100</v>
      </c>
      <c r="N414" s="13">
        <f t="shared" si="65"/>
        <v>364200</v>
      </c>
      <c r="O414" s="12">
        <v>364200</v>
      </c>
      <c r="P414" s="10">
        <f t="shared" si="66"/>
        <v>0</v>
      </c>
    </row>
    <row r="415" spans="1:16" s="14" customFormat="1" ht="15.75" customHeight="1" x14ac:dyDescent="0.25">
      <c r="A415" s="32">
        <v>46272</v>
      </c>
      <c r="B415" s="21" t="s">
        <v>5</v>
      </c>
      <c r="C415" s="18">
        <v>906</v>
      </c>
      <c r="D415" s="12">
        <v>329700</v>
      </c>
      <c r="E415" s="12">
        <v>130000</v>
      </c>
      <c r="F415" s="12">
        <v>14500</v>
      </c>
      <c r="G415" s="12">
        <v>276000</v>
      </c>
      <c r="H415" s="19">
        <f t="shared" si="64"/>
        <v>420500</v>
      </c>
      <c r="I415" s="9">
        <f t="shared" si="61"/>
        <v>750200</v>
      </c>
      <c r="J415" s="12">
        <v>0</v>
      </c>
      <c r="K415" s="12">
        <v>71000</v>
      </c>
      <c r="L415" s="12">
        <v>0</v>
      </c>
      <c r="M415" s="20">
        <f t="shared" si="62"/>
        <v>420500</v>
      </c>
      <c r="N415" s="13">
        <f t="shared" si="65"/>
        <v>258700</v>
      </c>
      <c r="O415" s="12">
        <v>258700</v>
      </c>
      <c r="P415" s="10">
        <f t="shared" si="66"/>
        <v>0</v>
      </c>
    </row>
    <row r="416" spans="1:16" s="14" customFormat="1" ht="15.75" customHeight="1" x14ac:dyDescent="0.25">
      <c r="A416" s="17">
        <v>46272</v>
      </c>
      <c r="B416" s="17" t="s">
        <v>4</v>
      </c>
      <c r="C416" s="18">
        <v>907</v>
      </c>
      <c r="D416" s="12">
        <v>265700</v>
      </c>
      <c r="E416" s="12">
        <v>58000</v>
      </c>
      <c r="F416" s="12">
        <v>23000</v>
      </c>
      <c r="G416" s="12">
        <v>416000</v>
      </c>
      <c r="H416" s="19">
        <f t="shared" si="64"/>
        <v>497000</v>
      </c>
      <c r="I416" s="9">
        <f t="shared" si="61"/>
        <v>762700</v>
      </c>
      <c r="J416" s="12">
        <v>0</v>
      </c>
      <c r="K416" s="12">
        <v>0</v>
      </c>
      <c r="L416" s="12">
        <v>1455900</v>
      </c>
      <c r="M416" s="20">
        <f t="shared" si="62"/>
        <v>497000</v>
      </c>
      <c r="N416" s="13">
        <f t="shared" si="65"/>
        <v>265700</v>
      </c>
      <c r="O416" s="12">
        <v>265700</v>
      </c>
      <c r="P416" s="10">
        <f t="shared" si="66"/>
        <v>0</v>
      </c>
    </row>
    <row r="417" spans="1:16" s="14" customFormat="1" ht="15.75" customHeight="1" x14ac:dyDescent="0.25">
      <c r="A417" s="17"/>
      <c r="B417" s="17"/>
      <c r="C417" s="18"/>
      <c r="D417" s="12">
        <v>0</v>
      </c>
      <c r="E417" s="12">
        <v>0</v>
      </c>
      <c r="F417" s="12">
        <v>0</v>
      </c>
      <c r="G417" s="12">
        <v>0</v>
      </c>
      <c r="H417" s="19">
        <f t="shared" si="64"/>
        <v>0</v>
      </c>
      <c r="I417" s="9">
        <f t="shared" si="61"/>
        <v>0</v>
      </c>
      <c r="J417" s="12">
        <v>0</v>
      </c>
      <c r="K417" s="12">
        <v>0</v>
      </c>
      <c r="L417" s="12">
        <v>0</v>
      </c>
      <c r="M417" s="20">
        <f t="shared" si="62"/>
        <v>0</v>
      </c>
      <c r="N417" s="13">
        <f t="shared" si="65"/>
        <v>0</v>
      </c>
      <c r="O417" s="12">
        <v>0</v>
      </c>
      <c r="P417" s="10">
        <f t="shared" si="66"/>
        <v>0</v>
      </c>
    </row>
    <row r="418" spans="1:16" s="14" customFormat="1" ht="15.75" customHeight="1" x14ac:dyDescent="0.25">
      <c r="A418" s="17"/>
      <c r="B418" s="17"/>
      <c r="C418" s="18"/>
      <c r="D418" s="12">
        <v>0</v>
      </c>
      <c r="E418" s="12">
        <v>0</v>
      </c>
      <c r="F418" s="12">
        <v>0</v>
      </c>
      <c r="G418" s="12">
        <v>0</v>
      </c>
      <c r="H418" s="19">
        <f t="shared" si="64"/>
        <v>0</v>
      </c>
      <c r="I418" s="9">
        <f t="shared" si="61"/>
        <v>0</v>
      </c>
      <c r="J418" s="12">
        <v>0</v>
      </c>
      <c r="K418" s="12">
        <v>0</v>
      </c>
      <c r="L418" s="12">
        <v>0</v>
      </c>
      <c r="M418" s="20">
        <f t="shared" si="62"/>
        <v>0</v>
      </c>
      <c r="N418" s="13">
        <f t="shared" si="65"/>
        <v>0</v>
      </c>
      <c r="O418" s="12">
        <v>0</v>
      </c>
      <c r="P418" s="10">
        <f t="shared" si="66"/>
        <v>0</v>
      </c>
    </row>
    <row r="419" spans="1:16" s="14" customFormat="1" ht="15.75" customHeight="1" x14ac:dyDescent="0.25">
      <c r="A419" s="17"/>
      <c r="B419" s="17"/>
      <c r="C419" s="18"/>
      <c r="D419" s="12">
        <v>0</v>
      </c>
      <c r="E419" s="12">
        <v>0</v>
      </c>
      <c r="F419" s="12">
        <v>0</v>
      </c>
      <c r="G419" s="12">
        <v>0</v>
      </c>
      <c r="H419" s="19">
        <f t="shared" si="64"/>
        <v>0</v>
      </c>
      <c r="I419" s="9">
        <f t="shared" si="61"/>
        <v>0</v>
      </c>
      <c r="J419" s="12">
        <v>0</v>
      </c>
      <c r="K419" s="12">
        <v>0</v>
      </c>
      <c r="L419" s="12">
        <v>0</v>
      </c>
      <c r="M419" s="20">
        <f t="shared" si="62"/>
        <v>0</v>
      </c>
      <c r="N419" s="13">
        <f t="shared" si="65"/>
        <v>0</v>
      </c>
      <c r="O419" s="12">
        <v>0</v>
      </c>
      <c r="P419" s="10">
        <f t="shared" si="66"/>
        <v>0</v>
      </c>
    </row>
    <row r="420" spans="1:16" s="14" customFormat="1" ht="15.75" customHeight="1" x14ac:dyDescent="0.25">
      <c r="A420" s="17"/>
      <c r="B420" s="17"/>
      <c r="C420" s="18"/>
      <c r="D420" s="12">
        <v>0</v>
      </c>
      <c r="E420" s="12">
        <v>0</v>
      </c>
      <c r="F420" s="12">
        <v>0</v>
      </c>
      <c r="G420" s="12">
        <v>0</v>
      </c>
      <c r="H420" s="19">
        <f t="shared" si="64"/>
        <v>0</v>
      </c>
      <c r="I420" s="9">
        <f t="shared" si="61"/>
        <v>0</v>
      </c>
      <c r="J420" s="12">
        <v>0</v>
      </c>
      <c r="K420" s="12">
        <v>0</v>
      </c>
      <c r="L420" s="12">
        <v>0</v>
      </c>
      <c r="M420" s="20">
        <f t="shared" si="62"/>
        <v>0</v>
      </c>
      <c r="N420" s="13">
        <f t="shared" si="65"/>
        <v>0</v>
      </c>
      <c r="O420" s="12">
        <v>0</v>
      </c>
      <c r="P420" s="10">
        <f t="shared" si="66"/>
        <v>0</v>
      </c>
    </row>
    <row r="421" spans="1:16" s="14" customFormat="1" ht="15.75" customHeight="1" x14ac:dyDescent="0.25">
      <c r="A421" s="17"/>
      <c r="B421" s="17"/>
      <c r="C421" s="18"/>
      <c r="D421" s="12">
        <v>0</v>
      </c>
      <c r="E421" s="12">
        <v>0</v>
      </c>
      <c r="F421" s="12">
        <v>0</v>
      </c>
      <c r="G421" s="12">
        <v>0</v>
      </c>
      <c r="H421" s="19">
        <f t="shared" si="64"/>
        <v>0</v>
      </c>
      <c r="I421" s="9">
        <f t="shared" si="61"/>
        <v>0</v>
      </c>
      <c r="J421" s="12">
        <v>0</v>
      </c>
      <c r="K421" s="12">
        <v>0</v>
      </c>
      <c r="L421" s="12">
        <v>0</v>
      </c>
      <c r="M421" s="20">
        <f t="shared" si="62"/>
        <v>0</v>
      </c>
      <c r="N421" s="13">
        <f t="shared" si="65"/>
        <v>0</v>
      </c>
      <c r="O421" s="12">
        <v>0</v>
      </c>
      <c r="P421" s="10">
        <f t="shared" si="66"/>
        <v>0</v>
      </c>
    </row>
    <row r="422" spans="1:16" s="14" customFormat="1" ht="15.75" customHeight="1" x14ac:dyDescent="0.25">
      <c r="A422" s="17"/>
      <c r="B422" s="17"/>
      <c r="C422" s="18"/>
      <c r="D422" s="12">
        <v>0</v>
      </c>
      <c r="E422" s="12">
        <v>0</v>
      </c>
      <c r="F422" s="12">
        <v>0</v>
      </c>
      <c r="G422" s="12">
        <v>0</v>
      </c>
      <c r="H422" s="19">
        <f t="shared" si="64"/>
        <v>0</v>
      </c>
      <c r="I422" s="9">
        <f t="shared" si="61"/>
        <v>0</v>
      </c>
      <c r="J422" s="12">
        <v>0</v>
      </c>
      <c r="K422" s="12">
        <v>0</v>
      </c>
      <c r="L422" s="12">
        <v>0</v>
      </c>
      <c r="M422" s="20">
        <f t="shared" si="62"/>
        <v>0</v>
      </c>
      <c r="N422" s="13">
        <f t="shared" si="65"/>
        <v>0</v>
      </c>
      <c r="O422" s="12">
        <v>0</v>
      </c>
      <c r="P422" s="10">
        <f t="shared" si="66"/>
        <v>0</v>
      </c>
    </row>
    <row r="423" spans="1:16" s="14" customFormat="1" ht="15.75" customHeight="1" x14ac:dyDescent="0.25">
      <c r="A423" s="17" t="s">
        <v>18</v>
      </c>
      <c r="B423" s="17"/>
      <c r="C423" s="18"/>
      <c r="D423" s="12">
        <v>0</v>
      </c>
      <c r="E423" s="12">
        <v>0</v>
      </c>
      <c r="F423" s="12">
        <v>0</v>
      </c>
      <c r="G423" s="12">
        <v>0</v>
      </c>
      <c r="H423" s="19">
        <f t="shared" si="64"/>
        <v>0</v>
      </c>
      <c r="I423" s="9">
        <f t="shared" si="61"/>
        <v>0</v>
      </c>
      <c r="J423" s="12">
        <v>0</v>
      </c>
      <c r="K423" s="12">
        <v>0</v>
      </c>
      <c r="L423" s="12">
        <v>0</v>
      </c>
      <c r="M423" s="20">
        <f t="shared" si="62"/>
        <v>0</v>
      </c>
      <c r="N423" s="13">
        <f t="shared" si="65"/>
        <v>0</v>
      </c>
      <c r="O423" s="12">
        <v>0</v>
      </c>
      <c r="P423" s="10">
        <f t="shared" si="66"/>
        <v>0</v>
      </c>
    </row>
    <row r="424" spans="1:16" s="14" customFormat="1" ht="15.75" customHeight="1" x14ac:dyDescent="0.25">
      <c r="A424" s="17"/>
      <c r="B424" s="17"/>
      <c r="C424" s="18"/>
      <c r="D424" s="12">
        <v>0</v>
      </c>
      <c r="E424" s="12">
        <v>0</v>
      </c>
      <c r="F424" s="12">
        <v>0</v>
      </c>
      <c r="G424" s="12">
        <v>0</v>
      </c>
      <c r="H424" s="19">
        <f>SUBTOTAL(9,H2:H423)</f>
        <v>141104774</v>
      </c>
      <c r="I424" s="67">
        <f>SUBTOTAL(9,I2:I423)</f>
        <v>292745142</v>
      </c>
      <c r="J424" s="15">
        <f>SUM(J2:J423)</f>
        <v>134629183</v>
      </c>
      <c r="K424" s="15">
        <f>SUM(K2:K423)</f>
        <v>10261589</v>
      </c>
      <c r="L424" s="15">
        <f>SUM(L2:L423)</f>
        <v>141768363</v>
      </c>
      <c r="M424" s="15">
        <f>SUM(M2:M423)</f>
        <v>4245591</v>
      </c>
      <c r="N424" s="15">
        <f>(SUM(N2:N423))-L424</f>
        <v>867584</v>
      </c>
      <c r="O424" s="15">
        <f>SUM(O2:O423)</f>
        <v>141711605</v>
      </c>
      <c r="P424" s="10">
        <f>SUM(P2:P423)</f>
        <v>154998</v>
      </c>
    </row>
    <row r="425" spans="1:16" ht="15.75" customHeight="1" x14ac:dyDescent="0.25"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M425" s="117">
        <f>SUM(M424:N424)</f>
        <v>5113175</v>
      </c>
      <c r="N425" s="117"/>
      <c r="O425" s="4"/>
    </row>
    <row r="426" spans="1:16" ht="15.75" customHeight="1" x14ac:dyDescent="0.25">
      <c r="B426" s="6"/>
      <c r="C426" s="6"/>
      <c r="H426" s="5"/>
      <c r="J426" s="4"/>
      <c r="K426" s="4"/>
      <c r="L426" s="4"/>
      <c r="M426" s="4"/>
      <c r="N426" s="4"/>
      <c r="O426" s="4"/>
    </row>
    <row r="427" spans="1:16" ht="15.75" customHeight="1" x14ac:dyDescent="0.25">
      <c r="A427" s="6"/>
      <c r="G427" s="6" t="s">
        <v>286</v>
      </c>
      <c r="H427" s="5"/>
      <c r="M427" s="5"/>
    </row>
    <row r="428" spans="1:16" ht="15.75" customHeight="1" x14ac:dyDescent="0.25">
      <c r="L428" s="5"/>
      <c r="N428" s="7"/>
      <c r="O428" s="4"/>
    </row>
    <row r="429" spans="1:16" ht="15.75" customHeight="1" x14ac:dyDescent="0.25">
      <c r="K429" s="6" t="s">
        <v>18</v>
      </c>
      <c r="N429" s="3" t="s">
        <v>18</v>
      </c>
    </row>
    <row r="430" spans="1:16" ht="15.75" customHeight="1" x14ac:dyDescent="0.25">
      <c r="A430" s="4"/>
      <c r="K430" s="6" t="s">
        <v>286</v>
      </c>
    </row>
    <row r="431" spans="1:16" ht="15.75" customHeight="1" x14ac:dyDescent="0.25">
      <c r="A431" s="4"/>
    </row>
    <row r="432" spans="1:16" ht="15.75" customHeight="1" x14ac:dyDescent="0.25"/>
    <row r="433" spans="11:11" ht="15.75" customHeight="1" x14ac:dyDescent="0.25">
      <c r="K433" s="5"/>
    </row>
    <row r="434" spans="11:11" ht="15.75" customHeight="1" x14ac:dyDescent="0.25">
      <c r="K434" s="6" t="s">
        <v>18</v>
      </c>
    </row>
    <row r="435" spans="11:11" ht="15.75" customHeight="1" x14ac:dyDescent="0.25"/>
    <row r="436" spans="11:11" ht="15.75" customHeight="1" x14ac:dyDescent="0.25"/>
  </sheetData>
  <autoFilter ref="A1:P425" xr:uid="{38354C29-C222-4F2B-AFFC-CDD45F8FFA2D}"/>
  <mergeCells count="1">
    <mergeCell ref="M425:N425"/>
  </mergeCells>
  <conditionalFormatting sqref="P3:P19 P94:P128 P424">
    <cfRule type="cellIs" dxfId="47" priority="270" operator="lessThan">
      <formula>0</formula>
    </cfRule>
  </conditionalFormatting>
  <conditionalFormatting sqref="P3:P19 P94:P128 P424">
    <cfRule type="cellIs" dxfId="46" priority="269" operator="greaterThan">
      <formula>0</formula>
    </cfRule>
  </conditionalFormatting>
  <conditionalFormatting sqref="P2">
    <cfRule type="cellIs" dxfId="45" priority="108" operator="lessThan">
      <formula>0</formula>
    </cfRule>
  </conditionalFormatting>
  <conditionalFormatting sqref="P2">
    <cfRule type="cellIs" dxfId="44" priority="107" operator="greaterThan">
      <formula>0</formula>
    </cfRule>
  </conditionalFormatting>
  <conditionalFormatting sqref="P20">
    <cfRule type="cellIs" dxfId="43" priority="106" operator="lessThan">
      <formula>0</formula>
    </cfRule>
  </conditionalFormatting>
  <conditionalFormatting sqref="P20">
    <cfRule type="cellIs" dxfId="42" priority="105" operator="greaterThan">
      <formula>0</formula>
    </cfRule>
  </conditionalFormatting>
  <conditionalFormatting sqref="P21">
    <cfRule type="cellIs" dxfId="41" priority="104" operator="lessThan">
      <formula>0</formula>
    </cfRule>
  </conditionalFormatting>
  <conditionalFormatting sqref="P21">
    <cfRule type="cellIs" dxfId="40" priority="103" operator="greaterThan">
      <formula>0</formula>
    </cfRule>
  </conditionalFormatting>
  <conditionalFormatting sqref="P22">
    <cfRule type="cellIs" dxfId="39" priority="102" operator="lessThan">
      <formula>0</formula>
    </cfRule>
  </conditionalFormatting>
  <conditionalFormatting sqref="P22">
    <cfRule type="cellIs" dxfId="38" priority="101" operator="greaterThan">
      <formula>0</formula>
    </cfRule>
  </conditionalFormatting>
  <conditionalFormatting sqref="P25:P47">
    <cfRule type="cellIs" dxfId="37" priority="98" operator="lessThan">
      <formula>0</formula>
    </cfRule>
  </conditionalFormatting>
  <conditionalFormatting sqref="P25:P47">
    <cfRule type="cellIs" dxfId="36" priority="97" operator="greaterThan">
      <formula>0</formula>
    </cfRule>
  </conditionalFormatting>
  <conditionalFormatting sqref="P24">
    <cfRule type="cellIs" dxfId="35" priority="96" operator="lessThan">
      <formula>0</formula>
    </cfRule>
  </conditionalFormatting>
  <conditionalFormatting sqref="P24">
    <cfRule type="cellIs" dxfId="34" priority="95" operator="greaterThan">
      <formula>0</formula>
    </cfRule>
  </conditionalFormatting>
  <conditionalFormatting sqref="P23">
    <cfRule type="cellIs" dxfId="33" priority="94" operator="lessThan">
      <formula>0</formula>
    </cfRule>
  </conditionalFormatting>
  <conditionalFormatting sqref="P23">
    <cfRule type="cellIs" dxfId="32" priority="93" operator="greaterThan">
      <formula>0</formula>
    </cfRule>
  </conditionalFormatting>
  <conditionalFormatting sqref="P48">
    <cfRule type="cellIs" dxfId="31" priority="92" operator="lessThan">
      <formula>0</formula>
    </cfRule>
  </conditionalFormatting>
  <conditionalFormatting sqref="P48">
    <cfRule type="cellIs" dxfId="30" priority="91" operator="greaterThan">
      <formula>0</formula>
    </cfRule>
  </conditionalFormatting>
  <conditionalFormatting sqref="P49">
    <cfRule type="cellIs" dxfId="29" priority="90" operator="lessThan">
      <formula>0</formula>
    </cfRule>
  </conditionalFormatting>
  <conditionalFormatting sqref="P49">
    <cfRule type="cellIs" dxfId="28" priority="89" operator="greaterThan">
      <formula>0</formula>
    </cfRule>
  </conditionalFormatting>
  <conditionalFormatting sqref="P50">
    <cfRule type="cellIs" dxfId="27" priority="88" operator="lessThan">
      <formula>0</formula>
    </cfRule>
  </conditionalFormatting>
  <conditionalFormatting sqref="P50">
    <cfRule type="cellIs" dxfId="26" priority="87" operator="greaterThan">
      <formula>0</formula>
    </cfRule>
  </conditionalFormatting>
  <conditionalFormatting sqref="P51">
    <cfRule type="cellIs" dxfId="25" priority="86" operator="lessThan">
      <formula>0</formula>
    </cfRule>
  </conditionalFormatting>
  <conditionalFormatting sqref="P51">
    <cfRule type="cellIs" dxfId="24" priority="85" operator="greaterThan">
      <formula>0</formula>
    </cfRule>
  </conditionalFormatting>
  <conditionalFormatting sqref="P52">
    <cfRule type="cellIs" dxfId="23" priority="84" operator="lessThan">
      <formula>0</formula>
    </cfRule>
  </conditionalFormatting>
  <conditionalFormatting sqref="P52">
    <cfRule type="cellIs" dxfId="22" priority="83" operator="greaterThan">
      <formula>0</formula>
    </cfRule>
  </conditionalFormatting>
  <conditionalFormatting sqref="P53:P57">
    <cfRule type="cellIs" dxfId="21" priority="82" operator="lessThan">
      <formula>0</formula>
    </cfRule>
  </conditionalFormatting>
  <conditionalFormatting sqref="P53:P57">
    <cfRule type="cellIs" dxfId="20" priority="81" operator="greaterThan">
      <formula>0</formula>
    </cfRule>
  </conditionalFormatting>
  <conditionalFormatting sqref="P58:P76">
    <cfRule type="cellIs" dxfId="19" priority="80" operator="lessThan">
      <formula>0</formula>
    </cfRule>
  </conditionalFormatting>
  <conditionalFormatting sqref="P58:P76">
    <cfRule type="cellIs" dxfId="18" priority="79" operator="greaterThan">
      <formula>0</formula>
    </cfRule>
  </conditionalFormatting>
  <conditionalFormatting sqref="P77:P90">
    <cfRule type="cellIs" dxfId="17" priority="38" operator="lessThan">
      <formula>0</formula>
    </cfRule>
  </conditionalFormatting>
  <conditionalFormatting sqref="P77:P90">
    <cfRule type="cellIs" dxfId="16" priority="37" operator="greaterThan">
      <formula>0</formula>
    </cfRule>
  </conditionalFormatting>
  <conditionalFormatting sqref="P91:P92">
    <cfRule type="cellIs" dxfId="15" priority="36" operator="lessThan">
      <formula>0</formula>
    </cfRule>
  </conditionalFormatting>
  <conditionalFormatting sqref="P91:P92">
    <cfRule type="cellIs" dxfId="14" priority="35" operator="greaterThan">
      <formula>0</formula>
    </cfRule>
  </conditionalFormatting>
  <conditionalFormatting sqref="P93">
    <cfRule type="cellIs" dxfId="13" priority="34" operator="lessThan">
      <formula>0</formula>
    </cfRule>
  </conditionalFormatting>
  <conditionalFormatting sqref="P93">
    <cfRule type="cellIs" dxfId="12" priority="33" operator="greaterThan">
      <formula>0</formula>
    </cfRule>
  </conditionalFormatting>
  <conditionalFormatting sqref="P129">
    <cfRule type="cellIs" dxfId="11" priority="32" operator="lessThan">
      <formula>0</formula>
    </cfRule>
  </conditionalFormatting>
  <conditionalFormatting sqref="P129">
    <cfRule type="cellIs" dxfId="10" priority="31" operator="greaterThan">
      <formula>0</formula>
    </cfRule>
  </conditionalFormatting>
  <conditionalFormatting sqref="P130">
    <cfRule type="cellIs" dxfId="9" priority="30" operator="lessThan">
      <formula>0</formula>
    </cfRule>
  </conditionalFormatting>
  <conditionalFormatting sqref="P130">
    <cfRule type="cellIs" dxfId="8" priority="29" operator="greaterThan">
      <formula>0</formula>
    </cfRule>
  </conditionalFormatting>
  <conditionalFormatting sqref="P131">
    <cfRule type="cellIs" dxfId="7" priority="28" operator="lessThan">
      <formula>0</formula>
    </cfRule>
  </conditionalFormatting>
  <conditionalFormatting sqref="P131">
    <cfRule type="cellIs" dxfId="6" priority="27" operator="greaterThan">
      <formula>0</formula>
    </cfRule>
  </conditionalFormatting>
  <conditionalFormatting sqref="P132">
    <cfRule type="cellIs" dxfId="5" priority="26" operator="lessThan">
      <formula>0</formula>
    </cfRule>
  </conditionalFormatting>
  <conditionalFormatting sqref="P132">
    <cfRule type="cellIs" dxfId="4" priority="25" operator="greaterThan">
      <formula>0</formula>
    </cfRule>
  </conditionalFormatting>
  <conditionalFormatting sqref="P133:P225 P227:P423">
    <cfRule type="cellIs" dxfId="3" priority="24" operator="lessThan">
      <formula>0</formula>
    </cfRule>
  </conditionalFormatting>
  <conditionalFormatting sqref="P133:P225 P227:P423">
    <cfRule type="cellIs" dxfId="2" priority="23" operator="greaterThan">
      <formula>0</formula>
    </cfRule>
  </conditionalFormatting>
  <conditionalFormatting sqref="P226">
    <cfRule type="cellIs" dxfId="1" priority="2" operator="lessThan">
      <formula>0</formula>
    </cfRule>
  </conditionalFormatting>
  <conditionalFormatting sqref="P226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484618-ADDA-4D0B-9857-BAAC99650DA4}">
          <x14:formula1>
            <xm:f>'NO TOCAR'!$A$1:$A$2</xm:f>
          </x14:formula1>
          <xm:sqref>B2:B178 B183:B424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C6BE-3CED-42CC-8F9B-90F7C5B516E3}">
  <dimension ref="A1:F11"/>
  <sheetViews>
    <sheetView workbookViewId="0">
      <selection activeCell="C9" sqref="C9"/>
    </sheetView>
  </sheetViews>
  <sheetFormatPr baseColWidth="10" defaultRowHeight="59.25" x14ac:dyDescent="0.75"/>
  <cols>
    <col min="1" max="1" width="11.42578125" style="81"/>
    <col min="2" max="2" width="132.7109375" style="85" bestFit="1" customWidth="1"/>
    <col min="3" max="3" width="95.42578125" style="85" bestFit="1" customWidth="1"/>
    <col min="4" max="4" width="12" style="81" bestFit="1" customWidth="1"/>
    <col min="5" max="6" width="11.42578125" style="81"/>
    <col min="7" max="16384" width="11.42578125" style="85"/>
  </cols>
  <sheetData>
    <row r="1" spans="2:3" s="81" customFormat="1" ht="60" x14ac:dyDescent="0.8">
      <c r="B1" s="118" t="s">
        <v>242</v>
      </c>
      <c r="C1" s="118"/>
    </row>
    <row r="2" spans="2:3" s="81" customFormat="1" ht="60" x14ac:dyDescent="0.8">
      <c r="B2" s="82"/>
      <c r="C2" s="82"/>
    </row>
    <row r="3" spans="2:3" x14ac:dyDescent="0.75">
      <c r="B3" s="83" t="s">
        <v>196</v>
      </c>
      <c r="C3" s="84">
        <v>46000</v>
      </c>
    </row>
    <row r="4" spans="2:3" x14ac:dyDescent="0.75">
      <c r="B4" s="83" t="s">
        <v>197</v>
      </c>
      <c r="C4" s="86">
        <v>0.4</v>
      </c>
    </row>
    <row r="5" spans="2:3" x14ac:dyDescent="0.75">
      <c r="B5" s="87" t="s">
        <v>198</v>
      </c>
      <c r="C5" s="91">
        <f>C3/(1-C4)</f>
        <v>76666.666666666672</v>
      </c>
    </row>
    <row r="6" spans="2:3" s="88" customFormat="1" x14ac:dyDescent="0.75"/>
    <row r="7" spans="2:3" x14ac:dyDescent="0.75">
      <c r="B7" s="89" t="s">
        <v>198</v>
      </c>
      <c r="C7" s="90">
        <v>96000</v>
      </c>
    </row>
    <row r="8" spans="2:3" x14ac:dyDescent="0.75">
      <c r="B8" s="89" t="s">
        <v>196</v>
      </c>
      <c r="C8" s="90">
        <v>46000</v>
      </c>
    </row>
    <row r="9" spans="2:3" x14ac:dyDescent="0.75">
      <c r="B9" s="87" t="s">
        <v>197</v>
      </c>
      <c r="C9" s="92">
        <f>(C7-C8)/C7</f>
        <v>0.52083333333333337</v>
      </c>
    </row>
    <row r="10" spans="2:3" s="81" customFormat="1" x14ac:dyDescent="0.75"/>
    <row r="11" spans="2:3" s="81" customFormat="1" x14ac:dyDescent="0.75"/>
  </sheetData>
  <sheetProtection sheet="1" objects="1" scenarios="1"/>
  <mergeCells count="1">
    <mergeCell ref="B1:C1"/>
  </mergeCells>
  <pageMargins left="0.7" right="0.7" top="0.75" bottom="0.75" header="0.3" footer="0.3"/>
  <pageSetup paperSize="12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0450-48F6-47CD-8A08-708CC756D0B6}">
  <dimension ref="B2:H18"/>
  <sheetViews>
    <sheetView zoomScale="180" zoomScaleNormal="180" workbookViewId="0">
      <selection activeCell="C6" sqref="C6"/>
    </sheetView>
  </sheetViews>
  <sheetFormatPr baseColWidth="10" defaultRowHeight="15" x14ac:dyDescent="0.2"/>
  <cols>
    <col min="1" max="1" width="11.42578125" style="50"/>
    <col min="2" max="2" width="12.85546875" style="50" bestFit="1" customWidth="1"/>
    <col min="3" max="3" width="13.28515625" style="50" bestFit="1" customWidth="1"/>
    <col min="4" max="4" width="16" style="50" bestFit="1" customWidth="1"/>
    <col min="5" max="6" width="11.42578125" style="50"/>
    <col min="7" max="7" width="13.140625" style="50" bestFit="1" customWidth="1"/>
    <col min="8" max="8" width="14.7109375" style="50" bestFit="1" customWidth="1"/>
    <col min="9" max="16384" width="11.42578125" style="50"/>
  </cols>
  <sheetData>
    <row r="2" spans="2:8" ht="15.75" x14ac:dyDescent="0.25">
      <c r="B2" s="119" t="s">
        <v>148</v>
      </c>
      <c r="C2" s="119"/>
      <c r="D2" s="119"/>
    </row>
    <row r="3" spans="2:8" ht="15.75" x14ac:dyDescent="0.25">
      <c r="B3" s="68" t="s">
        <v>20</v>
      </c>
      <c r="C3" s="56" t="s">
        <v>21</v>
      </c>
      <c r="D3" s="56" t="s">
        <v>22</v>
      </c>
    </row>
    <row r="4" spans="2:8" x14ac:dyDescent="0.2">
      <c r="B4" s="69">
        <v>100000</v>
      </c>
      <c r="C4" s="63">
        <v>0</v>
      </c>
      <c r="D4" s="69">
        <f>+B4*C4</f>
        <v>0</v>
      </c>
    </row>
    <row r="5" spans="2:8" x14ac:dyDescent="0.2">
      <c r="B5" s="69">
        <v>50000</v>
      </c>
      <c r="C5" s="63">
        <v>1</v>
      </c>
      <c r="D5" s="69">
        <f t="shared" ref="D5:D13" si="0">+B5*C5</f>
        <v>50000</v>
      </c>
    </row>
    <row r="6" spans="2:8" ht="15.75" x14ac:dyDescent="0.25">
      <c r="B6" s="69">
        <v>20000</v>
      </c>
      <c r="C6" s="63">
        <v>29</v>
      </c>
      <c r="D6" s="69">
        <f t="shared" si="0"/>
        <v>580000</v>
      </c>
      <c r="G6" s="77" t="s">
        <v>222</v>
      </c>
      <c r="H6" s="79">
        <v>637912</v>
      </c>
    </row>
    <row r="7" spans="2:8" ht="15.75" x14ac:dyDescent="0.25">
      <c r="B7" s="69">
        <v>10000</v>
      </c>
      <c r="C7" s="63">
        <v>0</v>
      </c>
      <c r="D7" s="69">
        <f t="shared" si="0"/>
        <v>0</v>
      </c>
      <c r="G7" s="77" t="s">
        <v>223</v>
      </c>
      <c r="H7" s="79">
        <v>640000</v>
      </c>
    </row>
    <row r="8" spans="2:8" ht="15.75" x14ac:dyDescent="0.25">
      <c r="B8" s="69">
        <v>5000</v>
      </c>
      <c r="C8" s="63">
        <v>0</v>
      </c>
      <c r="D8" s="69">
        <f t="shared" si="0"/>
        <v>0</v>
      </c>
      <c r="G8" s="77" t="s">
        <v>139</v>
      </c>
      <c r="H8" s="62">
        <f>SUM(H6:H7)</f>
        <v>1277912</v>
      </c>
    </row>
    <row r="9" spans="2:8" x14ac:dyDescent="0.2">
      <c r="B9" s="69">
        <v>2000</v>
      </c>
      <c r="C9" s="63">
        <v>0</v>
      </c>
      <c r="D9" s="69">
        <f t="shared" si="0"/>
        <v>0</v>
      </c>
    </row>
    <row r="10" spans="2:8" x14ac:dyDescent="0.2">
      <c r="B10" s="69">
        <v>1000</v>
      </c>
      <c r="C10" s="63">
        <v>2</v>
      </c>
      <c r="D10" s="69">
        <f t="shared" si="0"/>
        <v>2000</v>
      </c>
    </row>
    <row r="11" spans="2:8" x14ac:dyDescent="0.2">
      <c r="B11" s="69">
        <v>500</v>
      </c>
      <c r="C11" s="63">
        <v>25</v>
      </c>
      <c r="D11" s="69">
        <f t="shared" si="0"/>
        <v>12500</v>
      </c>
    </row>
    <row r="12" spans="2:8" x14ac:dyDescent="0.2">
      <c r="B12" s="69">
        <v>200</v>
      </c>
      <c r="C12" s="63">
        <v>14</v>
      </c>
      <c r="D12" s="69">
        <f t="shared" si="0"/>
        <v>2800</v>
      </c>
    </row>
    <row r="13" spans="2:8" x14ac:dyDescent="0.2">
      <c r="B13" s="69">
        <v>100</v>
      </c>
      <c r="C13" s="63">
        <v>5</v>
      </c>
      <c r="D13" s="69">
        <f t="shared" si="0"/>
        <v>500</v>
      </c>
    </row>
    <row r="14" spans="2:8" x14ac:dyDescent="0.2">
      <c r="B14" s="69">
        <v>50</v>
      </c>
      <c r="C14" s="63">
        <v>0</v>
      </c>
      <c r="D14" s="69">
        <v>0</v>
      </c>
    </row>
    <row r="15" spans="2:8" ht="15.75" thickBot="1" x14ac:dyDescent="0.25">
      <c r="B15" s="70"/>
      <c r="C15" s="64"/>
      <c r="D15" s="69"/>
    </row>
    <row r="16" spans="2:8" ht="16.5" thickTop="1" x14ac:dyDescent="0.25">
      <c r="C16" s="61" t="s">
        <v>139</v>
      </c>
      <c r="D16" s="62">
        <f>SUM(D4:D15)</f>
        <v>647800</v>
      </c>
    </row>
    <row r="18" spans="4:4" x14ac:dyDescent="0.2">
      <c r="D18" s="69">
        <f>D16-'Contro de Caja'!N424</f>
        <v>-219784</v>
      </c>
    </row>
  </sheetData>
  <mergeCells count="1">
    <mergeCell ref="B2:D2"/>
  </mergeCells>
  <pageMargins left="0.7" right="0.7" top="0.75" bottom="0.75" header="0.3" footer="0.3"/>
  <pageSetup paperSize="120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FA47-87B6-4290-9A8C-061303B58DC9}">
  <dimension ref="A2:I22"/>
  <sheetViews>
    <sheetView topLeftCell="A4" zoomScale="150" zoomScaleNormal="150" workbookViewId="0">
      <selection activeCell="F17" sqref="F17"/>
    </sheetView>
  </sheetViews>
  <sheetFormatPr baseColWidth="10" defaultColWidth="13" defaultRowHeight="15" x14ac:dyDescent="0.2"/>
  <cols>
    <col min="1" max="1" width="13" style="50"/>
    <col min="2" max="2" width="12.85546875" style="50" bestFit="1" customWidth="1"/>
    <col min="3" max="3" width="13.28515625" style="54" bestFit="1" customWidth="1"/>
    <col min="4" max="4" width="17.5703125" style="50" bestFit="1" customWidth="1"/>
    <col min="5" max="5" width="13" style="50"/>
    <col min="6" max="6" width="30.28515625" style="50" bestFit="1" customWidth="1"/>
    <col min="7" max="7" width="31.140625" style="50" bestFit="1" customWidth="1"/>
    <col min="8" max="8" width="27" style="50" bestFit="1" customWidth="1"/>
    <col min="9" max="16384" width="13" style="50"/>
  </cols>
  <sheetData>
    <row r="2" spans="1:9" ht="15" customHeight="1" x14ac:dyDescent="0.2">
      <c r="A2" s="123" t="s">
        <v>175</v>
      </c>
      <c r="B2" s="124"/>
      <c r="C2" s="124"/>
      <c r="D2" s="124"/>
      <c r="E2" s="124"/>
      <c r="F2" s="124"/>
      <c r="G2" s="124"/>
      <c r="H2" s="124"/>
      <c r="I2" s="124"/>
    </row>
    <row r="3" spans="1:9" x14ac:dyDescent="0.2">
      <c r="A3" s="123"/>
      <c r="B3" s="124"/>
      <c r="C3" s="124"/>
      <c r="D3" s="124"/>
      <c r="E3" s="124"/>
      <c r="F3" s="124"/>
      <c r="G3" s="124"/>
      <c r="H3" s="124"/>
      <c r="I3" s="124"/>
    </row>
    <row r="5" spans="1:9" ht="15.75" x14ac:dyDescent="0.25">
      <c r="B5" s="120" t="s">
        <v>19</v>
      </c>
      <c r="C5" s="121"/>
      <c r="D5" s="122"/>
    </row>
    <row r="6" spans="1:9" ht="15.75" x14ac:dyDescent="0.25">
      <c r="B6" s="56" t="s">
        <v>20</v>
      </c>
      <c r="C6" s="56" t="s">
        <v>21</v>
      </c>
      <c r="D6" s="56" t="s">
        <v>22</v>
      </c>
    </row>
    <row r="7" spans="1:9" x14ac:dyDescent="0.2">
      <c r="B7" s="69">
        <v>100000</v>
      </c>
      <c r="C7" s="107">
        <v>0</v>
      </c>
      <c r="D7" s="105">
        <f>B7*C7</f>
        <v>0</v>
      </c>
      <c r="F7" s="60"/>
    </row>
    <row r="8" spans="1:9" ht="15.75" x14ac:dyDescent="0.25">
      <c r="B8" s="69">
        <v>50000</v>
      </c>
      <c r="C8" s="107">
        <v>0</v>
      </c>
      <c r="D8" s="105">
        <f>B8*C8</f>
        <v>0</v>
      </c>
      <c r="F8" s="78" t="s">
        <v>290</v>
      </c>
      <c r="G8" s="51">
        <v>497000</v>
      </c>
    </row>
    <row r="9" spans="1:9" ht="15.75" x14ac:dyDescent="0.25">
      <c r="B9" s="69">
        <v>20000</v>
      </c>
      <c r="C9" s="107">
        <v>4</v>
      </c>
      <c r="D9" s="105">
        <f t="shared" ref="D9:D17" si="0">B9*C9</f>
        <v>80000</v>
      </c>
      <c r="F9" s="78" t="s">
        <v>291</v>
      </c>
      <c r="G9" s="108">
        <f>D18+G8</f>
        <v>894000</v>
      </c>
    </row>
    <row r="10" spans="1:9" ht="15.75" x14ac:dyDescent="0.25">
      <c r="B10" s="69">
        <v>10000</v>
      </c>
      <c r="C10" s="107">
        <v>16</v>
      </c>
      <c r="D10" s="105">
        <f t="shared" si="0"/>
        <v>160000</v>
      </c>
      <c r="F10" s="78" t="s">
        <v>292</v>
      </c>
      <c r="G10" s="108">
        <f>D18-400000</f>
        <v>-3000</v>
      </c>
    </row>
    <row r="11" spans="1:9" x14ac:dyDescent="0.2">
      <c r="B11" s="69">
        <v>5000</v>
      </c>
      <c r="C11" s="107">
        <v>2</v>
      </c>
      <c r="D11" s="105">
        <f t="shared" si="0"/>
        <v>10000</v>
      </c>
    </row>
    <row r="12" spans="1:9" x14ac:dyDescent="0.2">
      <c r="B12" s="69">
        <v>2000</v>
      </c>
      <c r="C12" s="107">
        <v>14</v>
      </c>
      <c r="D12" s="105">
        <f t="shared" si="0"/>
        <v>28000</v>
      </c>
    </row>
    <row r="13" spans="1:9" x14ac:dyDescent="0.2">
      <c r="B13" s="69">
        <v>1000</v>
      </c>
      <c r="C13" s="107">
        <v>6</v>
      </c>
      <c r="D13" s="105">
        <f t="shared" si="0"/>
        <v>6000</v>
      </c>
    </row>
    <row r="14" spans="1:9" x14ac:dyDescent="0.2">
      <c r="B14" s="69">
        <v>500</v>
      </c>
      <c r="C14" s="107">
        <v>58</v>
      </c>
      <c r="D14" s="105">
        <f t="shared" si="0"/>
        <v>29000</v>
      </c>
    </row>
    <row r="15" spans="1:9" x14ac:dyDescent="0.2">
      <c r="B15" s="69">
        <v>200</v>
      </c>
      <c r="C15" s="106">
        <v>194</v>
      </c>
      <c r="D15" s="105">
        <f t="shared" si="0"/>
        <v>38800</v>
      </c>
    </row>
    <row r="16" spans="1:9" x14ac:dyDescent="0.2">
      <c r="B16" s="69">
        <v>100</v>
      </c>
      <c r="C16" s="106">
        <v>452</v>
      </c>
      <c r="D16" s="105">
        <f t="shared" si="0"/>
        <v>45200</v>
      </c>
      <c r="G16" s="110"/>
    </row>
    <row r="17" spans="2:4" x14ac:dyDescent="0.2">
      <c r="B17" s="69">
        <v>50</v>
      </c>
      <c r="C17" s="106"/>
      <c r="D17" s="105">
        <f t="shared" si="0"/>
        <v>0</v>
      </c>
    </row>
    <row r="18" spans="2:4" ht="15.75" x14ac:dyDescent="0.25">
      <c r="B18" s="125" t="s">
        <v>22</v>
      </c>
      <c r="C18" s="126"/>
      <c r="D18" s="105">
        <f>SUM(D7:D17)</f>
        <v>397000</v>
      </c>
    </row>
    <row r="22" spans="2:4" ht="15" customHeight="1" x14ac:dyDescent="0.2"/>
  </sheetData>
  <mergeCells count="3">
    <mergeCell ref="B5:D5"/>
    <mergeCell ref="A2:I3"/>
    <mergeCell ref="B18:C18"/>
  </mergeCells>
  <pageMargins left="0.7" right="0.7" top="0.75" bottom="0.75" header="0.3" footer="0.3"/>
  <pageSetup paperSize="0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854F-59B0-40A1-B7C2-B0ABDD01E39D}">
  <dimension ref="B2:E13"/>
  <sheetViews>
    <sheetView topLeftCell="B7" zoomScale="340" zoomScaleNormal="340" workbookViewId="0">
      <selection activeCell="D15" sqref="D15"/>
    </sheetView>
  </sheetViews>
  <sheetFormatPr baseColWidth="10" defaultRowHeight="15" x14ac:dyDescent="0.2"/>
  <cols>
    <col min="1" max="1" width="11.42578125" style="50"/>
    <col min="2" max="2" width="15.42578125" style="50" customWidth="1"/>
    <col min="3" max="3" width="13.85546875" style="50" bestFit="1" customWidth="1"/>
    <col min="4" max="5" width="12.85546875" style="50" bestFit="1" customWidth="1"/>
    <col min="6" max="16384" width="11.42578125" style="50"/>
  </cols>
  <sheetData>
    <row r="2" spans="2:5" ht="15.75" x14ac:dyDescent="0.25">
      <c r="B2" s="56" t="s">
        <v>143</v>
      </c>
      <c r="C2" s="56" t="s">
        <v>140</v>
      </c>
      <c r="D2" s="56" t="s">
        <v>142</v>
      </c>
      <c r="E2" s="109" t="s">
        <v>307</v>
      </c>
    </row>
    <row r="3" spans="2:5" x14ac:dyDescent="0.2">
      <c r="B3" s="55" t="s">
        <v>141</v>
      </c>
      <c r="C3" s="51">
        <v>0</v>
      </c>
      <c r="D3" s="51">
        <v>0</v>
      </c>
      <c r="E3" s="51">
        <v>0</v>
      </c>
    </row>
    <row r="4" spans="2:5" ht="15.75" thickBot="1" x14ac:dyDescent="0.25">
      <c r="B4" s="59" t="s">
        <v>176</v>
      </c>
      <c r="C4" s="53">
        <v>164900</v>
      </c>
      <c r="D4" s="53">
        <v>76000</v>
      </c>
      <c r="E4" s="51">
        <v>0</v>
      </c>
    </row>
    <row r="5" spans="2:5" ht="16.5" thickTop="1" x14ac:dyDescent="0.25">
      <c r="B5" s="57" t="s">
        <v>308</v>
      </c>
      <c r="C5" s="58">
        <f>SUM(C3:C4)</f>
        <v>164900</v>
      </c>
      <c r="D5" s="58">
        <f>SUM(D3:D4)</f>
        <v>76000</v>
      </c>
      <c r="E5" s="51">
        <v>0</v>
      </c>
    </row>
    <row r="6" spans="2:5" ht="15.75" x14ac:dyDescent="0.25">
      <c r="B6" s="80" t="s">
        <v>241</v>
      </c>
      <c r="C6" s="58">
        <v>198600</v>
      </c>
      <c r="D6" s="58">
        <v>147100</v>
      </c>
      <c r="E6" s="51">
        <v>0</v>
      </c>
    </row>
    <row r="7" spans="2:5" ht="15.75" x14ac:dyDescent="0.25">
      <c r="B7" s="80" t="s">
        <v>283</v>
      </c>
      <c r="C7" s="58">
        <v>198800</v>
      </c>
      <c r="D7" s="58">
        <v>187300</v>
      </c>
      <c r="E7" s="51">
        <v>0</v>
      </c>
    </row>
    <row r="8" spans="2:5" ht="15.75" x14ac:dyDescent="0.25">
      <c r="B8" s="80" t="s">
        <v>301</v>
      </c>
      <c r="C8" s="58">
        <v>273600</v>
      </c>
      <c r="D8" s="58">
        <v>118200</v>
      </c>
      <c r="E8" s="51">
        <v>69200</v>
      </c>
    </row>
    <row r="9" spans="2:5" ht="15.75" x14ac:dyDescent="0.25">
      <c r="B9" s="80" t="s">
        <v>302</v>
      </c>
      <c r="C9" s="58">
        <v>512600</v>
      </c>
      <c r="D9" s="58">
        <v>171400</v>
      </c>
      <c r="E9" s="51">
        <v>300800</v>
      </c>
    </row>
    <row r="10" spans="2:5" ht="15.75" x14ac:dyDescent="0.25">
      <c r="B10" s="80" t="s">
        <v>303</v>
      </c>
      <c r="C10" s="58">
        <v>0</v>
      </c>
      <c r="D10" s="58">
        <v>0</v>
      </c>
      <c r="E10" s="51">
        <v>0</v>
      </c>
    </row>
    <row r="11" spans="2:5" ht="15.75" x14ac:dyDescent="0.25">
      <c r="B11" s="80" t="s">
        <v>304</v>
      </c>
      <c r="C11" s="58">
        <v>0</v>
      </c>
      <c r="D11" s="58">
        <v>0</v>
      </c>
      <c r="E11" s="51">
        <v>0</v>
      </c>
    </row>
    <row r="12" spans="2:5" ht="15.75" x14ac:dyDescent="0.25">
      <c r="B12" s="80" t="s">
        <v>305</v>
      </c>
      <c r="C12" s="58">
        <v>0</v>
      </c>
      <c r="D12" s="58">
        <v>0</v>
      </c>
      <c r="E12" s="51">
        <v>0</v>
      </c>
    </row>
    <row r="13" spans="2:5" ht="15.75" x14ac:dyDescent="0.25">
      <c r="B13" s="80" t="s">
        <v>306</v>
      </c>
      <c r="C13" s="58">
        <v>0</v>
      </c>
      <c r="D13" s="58">
        <v>0</v>
      </c>
      <c r="E13" s="51">
        <v>0</v>
      </c>
    </row>
  </sheetData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EA59-99CA-4C83-9106-A4A9A95FC1B9}">
  <dimension ref="A1:E2"/>
  <sheetViews>
    <sheetView workbookViewId="0">
      <selection activeCell="M34" sqref="M34"/>
    </sheetView>
  </sheetViews>
  <sheetFormatPr baseColWidth="10" defaultRowHeight="15" x14ac:dyDescent="0.25"/>
  <cols>
    <col min="3" max="3" width="13" bestFit="1" customWidth="1"/>
  </cols>
  <sheetData>
    <row r="1" spans="1:5" x14ac:dyDescent="0.25">
      <c r="A1" t="s">
        <v>4</v>
      </c>
      <c r="C1" t="s">
        <v>12</v>
      </c>
      <c r="E1" t="s">
        <v>24</v>
      </c>
    </row>
    <row r="2" spans="1:5" x14ac:dyDescent="0.25">
      <c r="A2" t="s">
        <v>5</v>
      </c>
      <c r="C2" t="s">
        <v>13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7807-EAA3-49B8-819C-9C80E72155AB}">
  <dimension ref="A1:L81"/>
  <sheetViews>
    <sheetView tabSelected="1" workbookViewId="0">
      <selection activeCell="I16" sqref="I16"/>
    </sheetView>
  </sheetViews>
  <sheetFormatPr baseColWidth="10" defaultRowHeight="12.75" x14ac:dyDescent="0.2"/>
  <cols>
    <col min="1" max="1" width="11.140625" style="93" customWidth="1"/>
    <col min="2" max="2" width="9.7109375" style="93" bestFit="1" customWidth="1"/>
    <col min="3" max="3" width="16.5703125" style="93" customWidth="1"/>
    <col min="4" max="4" width="43.28515625" style="93" customWidth="1"/>
    <col min="5" max="5" width="14.42578125" style="93" customWidth="1"/>
    <col min="6" max="8" width="12" style="93" customWidth="1"/>
    <col min="9" max="16384" width="11.42578125" style="93"/>
  </cols>
  <sheetData>
    <row r="1" spans="1:5" s="101" customFormat="1" x14ac:dyDescent="0.2">
      <c r="A1" s="94" t="s">
        <v>232</v>
      </c>
      <c r="B1" s="94" t="s">
        <v>28</v>
      </c>
      <c r="C1" s="94" t="s">
        <v>245</v>
      </c>
      <c r="D1" s="94" t="s">
        <v>27</v>
      </c>
      <c r="E1" s="94" t="s">
        <v>20</v>
      </c>
    </row>
    <row r="2" spans="1:5" x14ac:dyDescent="0.2">
      <c r="A2" s="95">
        <v>46174</v>
      </c>
      <c r="B2" s="96" t="s">
        <v>246</v>
      </c>
      <c r="C2" s="96" t="s">
        <v>247</v>
      </c>
      <c r="D2" s="97" t="s">
        <v>234</v>
      </c>
      <c r="E2" s="98">
        <v>657600</v>
      </c>
    </row>
    <row r="3" spans="1:5" x14ac:dyDescent="0.2">
      <c r="A3" s="99">
        <v>46174</v>
      </c>
      <c r="B3" s="96" t="s">
        <v>246</v>
      </c>
      <c r="C3" s="96" t="s">
        <v>248</v>
      </c>
      <c r="D3" s="96" t="s">
        <v>230</v>
      </c>
      <c r="E3" s="100">
        <v>75000</v>
      </c>
    </row>
    <row r="4" spans="1:5" x14ac:dyDescent="0.2">
      <c r="A4" s="99">
        <v>46175</v>
      </c>
      <c r="B4" s="96" t="s">
        <v>246</v>
      </c>
      <c r="C4" s="96" t="s">
        <v>248</v>
      </c>
      <c r="D4" s="96" t="s">
        <v>231</v>
      </c>
      <c r="E4" s="100">
        <v>50000</v>
      </c>
    </row>
    <row r="5" spans="1:5" x14ac:dyDescent="0.2">
      <c r="A5" s="99">
        <v>46175</v>
      </c>
      <c r="B5" s="96" t="s">
        <v>246</v>
      </c>
      <c r="C5" s="96" t="s">
        <v>248</v>
      </c>
      <c r="D5" s="96" t="s">
        <v>233</v>
      </c>
      <c r="E5" s="100">
        <v>67000</v>
      </c>
    </row>
    <row r="6" spans="1:5" x14ac:dyDescent="0.2">
      <c r="A6" s="99">
        <v>46175</v>
      </c>
      <c r="B6" s="96" t="s">
        <v>246</v>
      </c>
      <c r="C6" s="96" t="s">
        <v>248</v>
      </c>
      <c r="D6" s="96" t="s">
        <v>235</v>
      </c>
      <c r="E6" s="100">
        <v>190000</v>
      </c>
    </row>
    <row r="7" spans="1:5" x14ac:dyDescent="0.2">
      <c r="A7" s="99">
        <v>46176</v>
      </c>
      <c r="B7" s="96" t="s">
        <v>246</v>
      </c>
      <c r="C7" s="96" t="s">
        <v>249</v>
      </c>
      <c r="D7" s="96" t="s">
        <v>236</v>
      </c>
      <c r="E7" s="100">
        <v>102000</v>
      </c>
    </row>
    <row r="8" spans="1:5" x14ac:dyDescent="0.2">
      <c r="A8" s="99">
        <v>46176</v>
      </c>
      <c r="B8" s="96" t="s">
        <v>246</v>
      </c>
      <c r="C8" s="96" t="s">
        <v>250</v>
      </c>
      <c r="D8" s="96" t="s">
        <v>237</v>
      </c>
      <c r="E8" s="100">
        <v>693000</v>
      </c>
    </row>
    <row r="9" spans="1:5" x14ac:dyDescent="0.2">
      <c r="A9" s="99">
        <v>46176</v>
      </c>
      <c r="B9" s="96" t="s">
        <v>246</v>
      </c>
      <c r="C9" s="96" t="s">
        <v>251</v>
      </c>
      <c r="D9" s="96" t="s">
        <v>240</v>
      </c>
      <c r="E9" s="100">
        <v>39000</v>
      </c>
    </row>
    <row r="10" spans="1:5" x14ac:dyDescent="0.2">
      <c r="A10" s="99">
        <v>46178</v>
      </c>
      <c r="B10" s="96" t="s">
        <v>246</v>
      </c>
      <c r="C10" s="96" t="s">
        <v>249</v>
      </c>
      <c r="D10" s="96" t="s">
        <v>244</v>
      </c>
      <c r="E10" s="100">
        <v>91700</v>
      </c>
    </row>
    <row r="11" spans="1:5" x14ac:dyDescent="0.2">
      <c r="A11" s="99">
        <v>46179</v>
      </c>
      <c r="B11" s="96" t="s">
        <v>246</v>
      </c>
      <c r="C11" s="96" t="s">
        <v>248</v>
      </c>
      <c r="D11" s="96" t="s">
        <v>252</v>
      </c>
      <c r="E11" s="100">
        <v>69800</v>
      </c>
    </row>
    <row r="12" spans="1:5" x14ac:dyDescent="0.2">
      <c r="A12" s="99">
        <v>46180</v>
      </c>
      <c r="B12" s="96" t="s">
        <v>246</v>
      </c>
      <c r="C12" s="96" t="s">
        <v>253</v>
      </c>
      <c r="D12" s="96" t="s">
        <v>254</v>
      </c>
      <c r="E12" s="100">
        <v>10000</v>
      </c>
    </row>
    <row r="13" spans="1:5" x14ac:dyDescent="0.2">
      <c r="A13" s="99">
        <v>46181</v>
      </c>
      <c r="B13" s="96" t="s">
        <v>246</v>
      </c>
      <c r="C13" s="96" t="s">
        <v>255</v>
      </c>
      <c r="D13" s="96" t="s">
        <v>256</v>
      </c>
      <c r="E13" s="100">
        <v>21000</v>
      </c>
    </row>
    <row r="14" spans="1:5" x14ac:dyDescent="0.2">
      <c r="A14" s="99">
        <v>46181</v>
      </c>
      <c r="B14" s="96" t="s">
        <v>246</v>
      </c>
      <c r="C14" s="96" t="s">
        <v>255</v>
      </c>
      <c r="D14" s="96" t="s">
        <v>257</v>
      </c>
      <c r="E14" s="100">
        <v>34000</v>
      </c>
    </row>
    <row r="15" spans="1:5" x14ac:dyDescent="0.2">
      <c r="A15" s="99">
        <v>46182</v>
      </c>
      <c r="B15" s="96" t="s">
        <v>246</v>
      </c>
      <c r="C15" s="96" t="s">
        <v>255</v>
      </c>
      <c r="D15" s="96" t="s">
        <v>258</v>
      </c>
      <c r="E15" s="100">
        <v>67800</v>
      </c>
    </row>
    <row r="16" spans="1:5" x14ac:dyDescent="0.2">
      <c r="A16" s="99">
        <v>46183</v>
      </c>
      <c r="B16" s="96" t="s">
        <v>246</v>
      </c>
      <c r="C16" s="96" t="s">
        <v>249</v>
      </c>
      <c r="D16" s="96" t="s">
        <v>236</v>
      </c>
      <c r="E16" s="100">
        <v>110000</v>
      </c>
    </row>
    <row r="17" spans="1:5" x14ac:dyDescent="0.2">
      <c r="A17" s="99">
        <v>46186</v>
      </c>
      <c r="B17" s="96" t="s">
        <v>246</v>
      </c>
      <c r="C17" s="96" t="s">
        <v>248</v>
      </c>
      <c r="D17" s="96" t="s">
        <v>258</v>
      </c>
      <c r="E17" s="100">
        <v>83800</v>
      </c>
    </row>
    <row r="18" spans="1:5" x14ac:dyDescent="0.2">
      <c r="A18" s="99">
        <v>46188</v>
      </c>
      <c r="B18" s="96" t="s">
        <v>246</v>
      </c>
      <c r="C18" s="96" t="s">
        <v>261</v>
      </c>
      <c r="D18" s="96" t="s">
        <v>262</v>
      </c>
      <c r="E18" s="100">
        <v>100000</v>
      </c>
    </row>
    <row r="19" spans="1:5" x14ac:dyDescent="0.2">
      <c r="A19" s="99">
        <v>46188</v>
      </c>
      <c r="B19" s="96" t="s">
        <v>246</v>
      </c>
      <c r="C19" s="96" t="s">
        <v>261</v>
      </c>
      <c r="D19" s="96" t="s">
        <v>263</v>
      </c>
      <c r="E19" s="100">
        <v>100000</v>
      </c>
    </row>
    <row r="20" spans="1:5" x14ac:dyDescent="0.2">
      <c r="A20" s="99">
        <v>46189</v>
      </c>
      <c r="B20" s="96" t="s">
        <v>246</v>
      </c>
      <c r="C20" s="96" t="s">
        <v>255</v>
      </c>
      <c r="D20" s="96" t="s">
        <v>264</v>
      </c>
      <c r="E20" s="100">
        <v>29500</v>
      </c>
    </row>
    <row r="21" spans="1:5" x14ac:dyDescent="0.2">
      <c r="A21" s="99">
        <v>46190</v>
      </c>
      <c r="B21" s="96" t="s">
        <v>246</v>
      </c>
      <c r="C21" s="96" t="s">
        <v>255</v>
      </c>
      <c r="D21" s="96" t="s">
        <v>265</v>
      </c>
      <c r="E21" s="100">
        <v>18000</v>
      </c>
    </row>
    <row r="22" spans="1:5" x14ac:dyDescent="0.2">
      <c r="A22" s="99">
        <v>46191</v>
      </c>
      <c r="B22" s="96" t="s">
        <v>246</v>
      </c>
      <c r="C22" s="96" t="s">
        <v>258</v>
      </c>
      <c r="D22" s="96" t="s">
        <v>258</v>
      </c>
      <c r="E22" s="100">
        <v>38000</v>
      </c>
    </row>
    <row r="23" spans="1:5" x14ac:dyDescent="0.2">
      <c r="A23" s="99">
        <v>46191</v>
      </c>
      <c r="B23" s="96" t="s">
        <v>246</v>
      </c>
      <c r="C23" s="96" t="s">
        <v>236</v>
      </c>
      <c r="D23" s="96" t="s">
        <v>236</v>
      </c>
      <c r="E23" s="100">
        <v>112500</v>
      </c>
    </row>
    <row r="24" spans="1:5" x14ac:dyDescent="0.2">
      <c r="A24" s="99">
        <v>46191</v>
      </c>
      <c r="B24" s="96" t="s">
        <v>246</v>
      </c>
      <c r="C24" s="96" t="s">
        <v>258</v>
      </c>
      <c r="D24" s="96" t="s">
        <v>266</v>
      </c>
      <c r="E24" s="100">
        <v>38000</v>
      </c>
    </row>
    <row r="25" spans="1:5" x14ac:dyDescent="0.2">
      <c r="A25" s="99">
        <v>46192</v>
      </c>
      <c r="B25" s="96" t="s">
        <v>246</v>
      </c>
      <c r="C25" s="96" t="s">
        <v>267</v>
      </c>
      <c r="D25" s="96" t="s">
        <v>268</v>
      </c>
      <c r="E25" s="100">
        <v>30000</v>
      </c>
    </row>
    <row r="26" spans="1:5" x14ac:dyDescent="0.2">
      <c r="A26" s="99">
        <v>46196</v>
      </c>
      <c r="B26" s="96" t="s">
        <v>246</v>
      </c>
      <c r="C26" s="96" t="s">
        <v>269</v>
      </c>
      <c r="D26" s="96" t="s">
        <v>269</v>
      </c>
      <c r="E26" s="100">
        <v>255950</v>
      </c>
    </row>
    <row r="27" spans="1:5" x14ac:dyDescent="0.2">
      <c r="A27" s="99">
        <v>46198</v>
      </c>
      <c r="B27" s="96" t="s">
        <v>246</v>
      </c>
      <c r="C27" s="96" t="s">
        <v>270</v>
      </c>
      <c r="D27" s="96" t="s">
        <v>271</v>
      </c>
      <c r="E27" s="100">
        <v>1543000</v>
      </c>
    </row>
    <row r="28" spans="1:5" x14ac:dyDescent="0.2">
      <c r="A28" s="99">
        <v>46198</v>
      </c>
      <c r="B28" s="96" t="s">
        <v>246</v>
      </c>
      <c r="C28" s="96" t="s">
        <v>272</v>
      </c>
      <c r="D28" s="96" t="s">
        <v>221</v>
      </c>
      <c r="E28" s="100">
        <v>800000</v>
      </c>
    </row>
    <row r="29" spans="1:5" x14ac:dyDescent="0.2">
      <c r="A29" s="99">
        <v>46199</v>
      </c>
      <c r="B29" s="96" t="s">
        <v>246</v>
      </c>
      <c r="C29" s="96" t="s">
        <v>273</v>
      </c>
      <c r="D29" s="96" t="s">
        <v>273</v>
      </c>
      <c r="E29" s="100">
        <v>32000</v>
      </c>
    </row>
    <row r="30" spans="1:5" x14ac:dyDescent="0.2">
      <c r="A30" s="99">
        <v>46199</v>
      </c>
      <c r="B30" s="96" t="s">
        <v>246</v>
      </c>
      <c r="C30" s="96" t="s">
        <v>258</v>
      </c>
      <c r="D30" s="96" t="s">
        <v>258</v>
      </c>
      <c r="E30" s="100">
        <v>55900</v>
      </c>
    </row>
    <row r="31" spans="1:5" x14ac:dyDescent="0.2">
      <c r="A31" s="99">
        <v>46200</v>
      </c>
      <c r="B31" s="96" t="s">
        <v>275</v>
      </c>
      <c r="C31" s="96" t="s">
        <v>276</v>
      </c>
      <c r="D31" s="96" t="s">
        <v>277</v>
      </c>
      <c r="E31" s="100">
        <v>30000</v>
      </c>
    </row>
    <row r="32" spans="1:5" x14ac:dyDescent="0.2">
      <c r="A32" s="99">
        <v>46203</v>
      </c>
      <c r="B32" s="96" t="s">
        <v>246</v>
      </c>
      <c r="C32" s="96" t="s">
        <v>278</v>
      </c>
      <c r="D32" s="96" t="s">
        <v>279</v>
      </c>
      <c r="E32" s="100">
        <v>100000</v>
      </c>
    </row>
    <row r="33" spans="1:12" x14ac:dyDescent="0.2">
      <c r="A33" s="104">
        <v>46204</v>
      </c>
      <c r="B33" s="96" t="s">
        <v>246</v>
      </c>
      <c r="C33" s="96" t="s">
        <v>236</v>
      </c>
      <c r="D33" s="96" t="s">
        <v>280</v>
      </c>
      <c r="E33" s="100">
        <v>192500</v>
      </c>
    </row>
    <row r="34" spans="1:12" x14ac:dyDescent="0.2">
      <c r="A34" s="99">
        <v>46210</v>
      </c>
      <c r="B34" s="96" t="s">
        <v>246</v>
      </c>
      <c r="C34" s="96" t="s">
        <v>255</v>
      </c>
      <c r="D34" s="96" t="s">
        <v>265</v>
      </c>
      <c r="E34" s="100">
        <v>29000</v>
      </c>
      <c r="L34" s="93">
        <v>100</v>
      </c>
    </row>
    <row r="35" spans="1:12" x14ac:dyDescent="0.2">
      <c r="A35" s="99">
        <v>46210</v>
      </c>
      <c r="B35" s="96" t="s">
        <v>246</v>
      </c>
      <c r="C35" s="96" t="s">
        <v>143</v>
      </c>
      <c r="D35" s="96" t="s">
        <v>284</v>
      </c>
      <c r="E35" s="100">
        <v>147100</v>
      </c>
      <c r="L35" s="114">
        <v>1</v>
      </c>
    </row>
    <row r="36" spans="1:12" x14ac:dyDescent="0.2">
      <c r="A36" s="99">
        <v>46210</v>
      </c>
      <c r="B36" s="96" t="s">
        <v>246</v>
      </c>
      <c r="C36" s="96" t="s">
        <v>143</v>
      </c>
      <c r="D36" s="96" t="s">
        <v>285</v>
      </c>
      <c r="E36" s="100">
        <v>187300</v>
      </c>
    </row>
    <row r="37" spans="1:12" x14ac:dyDescent="0.2">
      <c r="A37" s="99">
        <v>46213</v>
      </c>
      <c r="B37" s="96" t="s">
        <v>246</v>
      </c>
      <c r="C37" s="96" t="s">
        <v>248</v>
      </c>
      <c r="D37" s="96" t="s">
        <v>258</v>
      </c>
      <c r="E37" s="100">
        <v>110000</v>
      </c>
    </row>
    <row r="38" spans="1:12" x14ac:dyDescent="0.2">
      <c r="A38" s="99">
        <v>46213</v>
      </c>
      <c r="B38" s="96" t="s">
        <v>246</v>
      </c>
      <c r="C38" s="96" t="s">
        <v>248</v>
      </c>
      <c r="D38" s="96" t="s">
        <v>258</v>
      </c>
      <c r="E38" s="100">
        <v>75800</v>
      </c>
    </row>
    <row r="39" spans="1:12" x14ac:dyDescent="0.2">
      <c r="A39" s="99">
        <v>46218</v>
      </c>
      <c r="B39" s="96" t="s">
        <v>246</v>
      </c>
      <c r="C39" s="96" t="s">
        <v>287</v>
      </c>
      <c r="D39" s="96" t="s">
        <v>236</v>
      </c>
      <c r="E39" s="100">
        <v>236500</v>
      </c>
      <c r="F39" s="93" t="s">
        <v>288</v>
      </c>
    </row>
    <row r="40" spans="1:12" x14ac:dyDescent="0.2">
      <c r="A40" s="99">
        <v>46220</v>
      </c>
      <c r="B40" s="96" t="s">
        <v>246</v>
      </c>
      <c r="C40" s="96" t="s">
        <v>248</v>
      </c>
      <c r="D40" s="96" t="s">
        <v>289</v>
      </c>
      <c r="E40" s="100">
        <v>100000</v>
      </c>
    </row>
    <row r="41" spans="1:12" x14ac:dyDescent="0.2">
      <c r="A41" s="99">
        <v>46222</v>
      </c>
      <c r="B41" s="96" t="s">
        <v>246</v>
      </c>
      <c r="C41" s="96" t="s">
        <v>185</v>
      </c>
      <c r="D41" s="96" t="s">
        <v>256</v>
      </c>
      <c r="E41" s="100">
        <v>19000</v>
      </c>
    </row>
    <row r="42" spans="1:12" x14ac:dyDescent="0.2">
      <c r="A42" s="99">
        <v>46221</v>
      </c>
      <c r="B42" s="96" t="s">
        <v>246</v>
      </c>
      <c r="C42" s="96" t="s">
        <v>294</v>
      </c>
      <c r="D42" s="96" t="s">
        <v>294</v>
      </c>
      <c r="E42" s="100">
        <v>88850</v>
      </c>
    </row>
    <row r="43" spans="1:12" x14ac:dyDescent="0.2">
      <c r="A43" s="99">
        <v>46224</v>
      </c>
      <c r="B43" s="96" t="s">
        <v>246</v>
      </c>
      <c r="C43" s="96" t="s">
        <v>185</v>
      </c>
      <c r="D43" s="96" t="s">
        <v>295</v>
      </c>
      <c r="E43" s="100">
        <v>8000</v>
      </c>
    </row>
    <row r="44" spans="1:12" x14ac:dyDescent="0.2">
      <c r="A44" s="99">
        <v>46227</v>
      </c>
      <c r="B44" s="96" t="s">
        <v>246</v>
      </c>
      <c r="C44" s="96" t="s">
        <v>185</v>
      </c>
      <c r="D44" s="96" t="s">
        <v>289</v>
      </c>
      <c r="E44" s="100">
        <v>66900</v>
      </c>
    </row>
    <row r="45" spans="1:12" x14ac:dyDescent="0.2">
      <c r="A45" s="99">
        <v>46226</v>
      </c>
      <c r="B45" s="96" t="s">
        <v>246</v>
      </c>
      <c r="C45" s="96" t="s">
        <v>296</v>
      </c>
      <c r="D45" s="96" t="s">
        <v>236</v>
      </c>
      <c r="E45" s="100">
        <v>188800</v>
      </c>
    </row>
    <row r="46" spans="1:12" x14ac:dyDescent="0.2">
      <c r="A46" s="99">
        <v>46228</v>
      </c>
      <c r="B46" s="96" t="s">
        <v>246</v>
      </c>
      <c r="C46" s="96" t="s">
        <v>185</v>
      </c>
      <c r="D46" s="96" t="s">
        <v>297</v>
      </c>
      <c r="E46" s="100">
        <v>125000</v>
      </c>
    </row>
    <row r="47" spans="1:12" x14ac:dyDescent="0.2">
      <c r="A47" s="99">
        <v>46228</v>
      </c>
      <c r="B47" s="96" t="s">
        <v>246</v>
      </c>
      <c r="C47" s="96" t="s">
        <v>185</v>
      </c>
      <c r="D47" s="96" t="s">
        <v>295</v>
      </c>
      <c r="E47" s="100">
        <v>22500</v>
      </c>
    </row>
    <row r="48" spans="1:12" x14ac:dyDescent="0.2">
      <c r="A48" s="99">
        <v>46231</v>
      </c>
      <c r="B48" s="96" t="s">
        <v>246</v>
      </c>
      <c r="C48" s="96" t="s">
        <v>185</v>
      </c>
      <c r="D48" s="96" t="s">
        <v>236</v>
      </c>
      <c r="E48" s="100">
        <v>108400</v>
      </c>
    </row>
    <row r="49" spans="1:5" x14ac:dyDescent="0.2">
      <c r="A49" s="99">
        <v>46233</v>
      </c>
      <c r="B49" s="96" t="s">
        <v>246</v>
      </c>
      <c r="C49" s="96" t="s">
        <v>185</v>
      </c>
      <c r="D49" s="96" t="s">
        <v>289</v>
      </c>
      <c r="E49" s="100">
        <v>63000</v>
      </c>
    </row>
    <row r="50" spans="1:5" x14ac:dyDescent="0.2">
      <c r="A50" s="104">
        <v>46237</v>
      </c>
      <c r="B50" s="96" t="s">
        <v>246</v>
      </c>
      <c r="C50" s="96" t="s">
        <v>248</v>
      </c>
      <c r="D50" s="96" t="s">
        <v>289</v>
      </c>
      <c r="E50" s="100">
        <v>95000</v>
      </c>
    </row>
    <row r="51" spans="1:5" x14ac:dyDescent="0.2">
      <c r="A51" s="99">
        <v>46237</v>
      </c>
      <c r="B51" s="96" t="s">
        <v>246</v>
      </c>
      <c r="C51" s="96" t="s">
        <v>185</v>
      </c>
      <c r="D51" s="96" t="s">
        <v>236</v>
      </c>
      <c r="E51" s="100">
        <v>236800</v>
      </c>
    </row>
    <row r="52" spans="1:5" x14ac:dyDescent="0.2">
      <c r="A52" s="99">
        <v>46237</v>
      </c>
      <c r="B52" s="96" t="s">
        <v>246</v>
      </c>
      <c r="C52" s="96" t="s">
        <v>143</v>
      </c>
      <c r="D52" s="96" t="s">
        <v>309</v>
      </c>
      <c r="E52" s="100">
        <v>273600</v>
      </c>
    </row>
    <row r="53" spans="1:5" x14ac:dyDescent="0.2">
      <c r="A53" s="99">
        <v>46238</v>
      </c>
      <c r="B53" s="96" t="s">
        <v>246</v>
      </c>
      <c r="C53" s="96" t="s">
        <v>143</v>
      </c>
      <c r="D53" s="96" t="s">
        <v>310</v>
      </c>
      <c r="E53" s="100">
        <v>69200</v>
      </c>
    </row>
    <row r="54" spans="1:5" x14ac:dyDescent="0.2">
      <c r="A54" s="99">
        <v>46238</v>
      </c>
      <c r="B54" s="96" t="s">
        <v>246</v>
      </c>
      <c r="C54" s="96" t="s">
        <v>143</v>
      </c>
      <c r="D54" s="96" t="s">
        <v>142</v>
      </c>
      <c r="E54" s="100">
        <v>118200</v>
      </c>
    </row>
    <row r="55" spans="1:5" x14ac:dyDescent="0.2">
      <c r="A55" s="99">
        <v>46240</v>
      </c>
      <c r="B55" s="96" t="s">
        <v>246</v>
      </c>
      <c r="C55" s="96" t="s">
        <v>248</v>
      </c>
      <c r="D55" s="96" t="s">
        <v>289</v>
      </c>
      <c r="E55" s="100">
        <v>87000</v>
      </c>
    </row>
    <row r="56" spans="1:5" x14ac:dyDescent="0.2">
      <c r="A56" s="99">
        <v>46242</v>
      </c>
      <c r="B56" s="96" t="s">
        <v>246</v>
      </c>
      <c r="C56" s="96" t="s">
        <v>185</v>
      </c>
      <c r="D56" s="96" t="s">
        <v>311</v>
      </c>
      <c r="E56" s="100">
        <v>35000</v>
      </c>
    </row>
    <row r="57" spans="1:5" x14ac:dyDescent="0.2">
      <c r="A57" s="99">
        <v>46242</v>
      </c>
      <c r="B57" s="96" t="s">
        <v>246</v>
      </c>
      <c r="C57" s="96" t="s">
        <v>248</v>
      </c>
      <c r="D57" s="96" t="s">
        <v>289</v>
      </c>
      <c r="E57" s="100">
        <v>69300</v>
      </c>
    </row>
    <row r="58" spans="1:5" x14ac:dyDescent="0.2">
      <c r="A58" s="99">
        <v>46245</v>
      </c>
      <c r="B58" s="96" t="s">
        <v>246</v>
      </c>
      <c r="C58" s="96" t="s">
        <v>289</v>
      </c>
      <c r="D58" s="96" t="s">
        <v>289</v>
      </c>
      <c r="E58" s="100">
        <v>162933</v>
      </c>
    </row>
    <row r="59" spans="1:5" x14ac:dyDescent="0.2">
      <c r="A59" s="99">
        <v>46245</v>
      </c>
      <c r="B59" s="96" t="s">
        <v>246</v>
      </c>
      <c r="C59" s="96" t="s">
        <v>269</v>
      </c>
      <c r="D59" s="96" t="s">
        <v>269</v>
      </c>
      <c r="E59" s="100">
        <v>187900</v>
      </c>
    </row>
    <row r="60" spans="1:5" x14ac:dyDescent="0.2">
      <c r="A60" s="99">
        <v>46247</v>
      </c>
      <c r="B60" s="96" t="s">
        <v>246</v>
      </c>
      <c r="C60" s="96" t="s">
        <v>248</v>
      </c>
      <c r="D60" s="96" t="s">
        <v>359</v>
      </c>
      <c r="E60" s="100">
        <f>63700+126000</f>
        <v>189700</v>
      </c>
    </row>
    <row r="61" spans="1:5" x14ac:dyDescent="0.2">
      <c r="A61" s="99">
        <v>46248</v>
      </c>
      <c r="B61" s="96" t="s">
        <v>246</v>
      </c>
      <c r="C61" s="96" t="s">
        <v>361</v>
      </c>
      <c r="D61" s="96" t="s">
        <v>236</v>
      </c>
      <c r="E61" s="100">
        <v>182000</v>
      </c>
    </row>
    <row r="62" spans="1:5" x14ac:dyDescent="0.2">
      <c r="A62" s="99">
        <v>46248</v>
      </c>
      <c r="B62" s="96" t="s">
        <v>246</v>
      </c>
      <c r="C62" s="96" t="s">
        <v>248</v>
      </c>
      <c r="D62" s="96" t="s">
        <v>289</v>
      </c>
      <c r="E62" s="100">
        <v>55900</v>
      </c>
    </row>
    <row r="63" spans="1:5" x14ac:dyDescent="0.2">
      <c r="A63" s="99">
        <v>46250</v>
      </c>
      <c r="B63" s="96" t="s">
        <v>246</v>
      </c>
      <c r="C63" s="96" t="s">
        <v>185</v>
      </c>
      <c r="D63" s="96" t="s">
        <v>256</v>
      </c>
      <c r="E63" s="100">
        <v>36000</v>
      </c>
    </row>
    <row r="64" spans="1:5" x14ac:dyDescent="0.2">
      <c r="A64" s="99">
        <v>46250</v>
      </c>
      <c r="B64" s="96" t="s">
        <v>246</v>
      </c>
      <c r="C64" s="96" t="s">
        <v>362</v>
      </c>
      <c r="D64" s="96" t="s">
        <v>363</v>
      </c>
      <c r="E64" s="100">
        <v>60000</v>
      </c>
    </row>
    <row r="65" spans="1:5" x14ac:dyDescent="0.2">
      <c r="A65" s="99">
        <v>46258</v>
      </c>
      <c r="B65" s="96" t="s">
        <v>246</v>
      </c>
      <c r="C65" s="96" t="s">
        <v>248</v>
      </c>
      <c r="D65" s="96" t="s">
        <v>258</v>
      </c>
      <c r="E65" s="100">
        <v>162000</v>
      </c>
    </row>
    <row r="66" spans="1:5" x14ac:dyDescent="0.2">
      <c r="A66" s="99">
        <v>46259</v>
      </c>
      <c r="B66" s="96" t="s">
        <v>246</v>
      </c>
      <c r="C66" s="96" t="s">
        <v>185</v>
      </c>
      <c r="D66" s="96" t="s">
        <v>256</v>
      </c>
      <c r="E66" s="100">
        <v>10000</v>
      </c>
    </row>
    <row r="67" spans="1:5" x14ac:dyDescent="0.2">
      <c r="A67" s="99">
        <v>46261</v>
      </c>
      <c r="B67" s="96" t="s">
        <v>246</v>
      </c>
      <c r="C67" s="96" t="s">
        <v>185</v>
      </c>
      <c r="D67" s="96" t="s">
        <v>289</v>
      </c>
      <c r="E67" s="100">
        <v>56000</v>
      </c>
    </row>
    <row r="68" spans="1:5" x14ac:dyDescent="0.2">
      <c r="A68" s="99">
        <v>46262</v>
      </c>
      <c r="B68" s="96" t="s">
        <v>246</v>
      </c>
      <c r="C68" s="96" t="s">
        <v>368</v>
      </c>
      <c r="D68" s="96" t="s">
        <v>369</v>
      </c>
      <c r="E68" s="100">
        <v>600000</v>
      </c>
    </row>
    <row r="69" spans="1:5" x14ac:dyDescent="0.2">
      <c r="A69" s="99">
        <v>46262</v>
      </c>
      <c r="B69" s="96" t="s">
        <v>246</v>
      </c>
      <c r="C69" s="96" t="s">
        <v>370</v>
      </c>
      <c r="D69" s="96" t="s">
        <v>371</v>
      </c>
      <c r="E69" s="100">
        <v>10000</v>
      </c>
    </row>
    <row r="70" spans="1:5" x14ac:dyDescent="0.2">
      <c r="A70" s="99">
        <v>46265</v>
      </c>
      <c r="B70" s="96" t="s">
        <v>246</v>
      </c>
      <c r="C70" s="96" t="s">
        <v>276</v>
      </c>
      <c r="D70" s="96" t="s">
        <v>295</v>
      </c>
      <c r="E70" s="100">
        <v>44000</v>
      </c>
    </row>
    <row r="71" spans="1:5" x14ac:dyDescent="0.2">
      <c r="A71" s="96"/>
      <c r="B71" s="96"/>
      <c r="C71" s="96"/>
      <c r="D71" s="96"/>
      <c r="E71" s="100">
        <v>0</v>
      </c>
    </row>
    <row r="72" spans="1:5" x14ac:dyDescent="0.2">
      <c r="A72" s="96"/>
      <c r="B72" s="96"/>
      <c r="C72" s="96"/>
      <c r="D72" s="96"/>
      <c r="E72" s="100">
        <v>0</v>
      </c>
    </row>
    <row r="73" spans="1:5" x14ac:dyDescent="0.2">
      <c r="A73" s="96"/>
      <c r="B73" s="96"/>
      <c r="C73" s="96"/>
      <c r="D73" s="96"/>
      <c r="E73" s="100">
        <v>0</v>
      </c>
    </row>
    <row r="74" spans="1:5" x14ac:dyDescent="0.2">
      <c r="A74" s="96"/>
      <c r="B74" s="96"/>
      <c r="C74" s="96"/>
      <c r="D74" s="96"/>
      <c r="E74" s="100">
        <v>0</v>
      </c>
    </row>
    <row r="75" spans="1:5" x14ac:dyDescent="0.2">
      <c r="A75" s="96"/>
      <c r="B75" s="96"/>
      <c r="C75" s="96"/>
      <c r="D75" s="96"/>
      <c r="E75" s="100">
        <v>0</v>
      </c>
    </row>
    <row r="76" spans="1:5" x14ac:dyDescent="0.2">
      <c r="A76" s="96"/>
      <c r="B76" s="96"/>
      <c r="C76" s="96"/>
      <c r="D76" s="96"/>
      <c r="E76" s="100">
        <v>0</v>
      </c>
    </row>
    <row r="77" spans="1:5" x14ac:dyDescent="0.2">
      <c r="A77" s="96"/>
      <c r="B77" s="96"/>
      <c r="C77" s="96"/>
      <c r="D77" s="96"/>
      <c r="E77" s="100">
        <v>0</v>
      </c>
    </row>
    <row r="78" spans="1:5" x14ac:dyDescent="0.2">
      <c r="A78" s="96"/>
      <c r="B78" s="96"/>
      <c r="C78" s="96"/>
      <c r="D78" s="96"/>
      <c r="E78" s="100">
        <v>0</v>
      </c>
    </row>
    <row r="79" spans="1:5" x14ac:dyDescent="0.2">
      <c r="A79" s="96"/>
      <c r="B79" s="96"/>
      <c r="C79" s="96"/>
      <c r="D79" s="96"/>
      <c r="E79" s="100">
        <v>0</v>
      </c>
    </row>
    <row r="80" spans="1:5" x14ac:dyDescent="0.2">
      <c r="E80" s="100"/>
    </row>
    <row r="81" spans="5:5" x14ac:dyDescent="0.2">
      <c r="E81" s="34">
        <f>SUBTOTAL(9,E2:E79)</f>
        <v>10153733</v>
      </c>
    </row>
  </sheetData>
  <phoneticPr fontId="16" type="noConversion"/>
  <pageMargins left="0.7" right="0.7" top="0.75" bottom="0.75" header="0.3" footer="0.3"/>
  <pageSetup paperSize="12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Programación de pagos</vt:lpstr>
      <vt:lpstr>Contro de Caja</vt:lpstr>
      <vt:lpstr>Sacar precio</vt:lpstr>
      <vt:lpstr>Arqueo de Caja General</vt:lpstr>
      <vt:lpstr>Arqueo de Caja</vt:lpstr>
      <vt:lpstr>Raya</vt:lpstr>
      <vt:lpstr>NO TOCAR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Guevara</dc:creator>
  <cp:lastModifiedBy>Fabian Guevara</cp:lastModifiedBy>
  <dcterms:created xsi:type="dcterms:W3CDTF">2025-06-17T22:43:06Z</dcterms:created>
  <dcterms:modified xsi:type="dcterms:W3CDTF">2026-09-08T18:55:14Z</dcterms:modified>
</cp:coreProperties>
</file>