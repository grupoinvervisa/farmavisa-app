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Farmavisa_App\"/>
    </mc:Choice>
  </mc:AlternateContent>
  <xr:revisionPtr revIDLastSave="0" documentId="8_{4E8E81F8-E4FF-4E25-9FBA-6E77229269C2}" xr6:coauthVersionLast="47" xr6:coauthVersionMax="47" xr10:uidLastSave="{00000000-0000-0000-0000-000000000000}"/>
  <bookViews>
    <workbookView xWindow="-120" yWindow="-120" windowWidth="20730" windowHeight="11040" tabRatio="874" xr2:uid="{BEA16B71-FE3A-4F3E-BD5F-E87CB848FD8F}"/>
  </bookViews>
  <sheets>
    <sheet name="Programación de pagos" sheetId="6" r:id="rId1"/>
    <sheet name="NO TOCAR" sheetId="5" r:id="rId2"/>
  </sheets>
  <definedNames>
    <definedName name="_xlnm._FilterDatabase" localSheetId="0" hidden="1">'Programación de pagos'!$A$1:$H$637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3" i="6" l="1"/>
  <c r="E448" i="6"/>
  <c r="E547" i="6"/>
  <c r="E546" i="6"/>
  <c r="E512" i="6" l="1"/>
  <c r="E511" i="6"/>
  <c r="E502" i="6" l="1"/>
  <c r="E481" i="6" l="1"/>
  <c r="E460" i="6"/>
  <c r="E491" i="6"/>
  <c r="E438" i="6"/>
  <c r="E424" i="6"/>
  <c r="E458" i="6"/>
  <c r="E449" i="6"/>
  <c r="E440" i="6"/>
  <c r="E437" i="6"/>
  <c r="E425" i="6"/>
  <c r="E423" i="6"/>
  <c r="E422" i="6"/>
  <c r="E380" i="6"/>
  <c r="E260" i="6" l="1"/>
  <c r="E317" i="6"/>
  <c r="E336" i="6"/>
  <c r="E280" i="6"/>
  <c r="E335" i="6"/>
  <c r="E279" i="6"/>
  <c r="E369" i="6"/>
  <c r="E334" i="6"/>
  <c r="E278" i="6"/>
  <c r="E305" i="6"/>
  <c r="E302" i="6"/>
  <c r="E271" i="6" l="1"/>
  <c r="E625" i="6" l="1"/>
  <c r="E624" i="6"/>
  <c r="E620" i="6"/>
  <c r="E619" i="6"/>
  <c r="E608" i="6"/>
  <c r="E607" i="6"/>
  <c r="E603" i="6"/>
  <c r="E602" i="6"/>
  <c r="E593" i="6"/>
  <c r="E592" i="6"/>
  <c r="E588" i="6"/>
  <c r="E587" i="6"/>
  <c r="E574" i="6"/>
  <c r="E573" i="6"/>
  <c r="E561" i="6"/>
  <c r="E560" i="6"/>
  <c r="E537" i="6"/>
  <c r="E536" i="6"/>
  <c r="E521" i="6"/>
  <c r="E520" i="6"/>
  <c r="E143" i="6"/>
  <c r="E227" i="6"/>
  <c r="E224" i="6"/>
  <c r="E222" i="6"/>
  <c r="E195" i="6"/>
  <c r="E181" i="6"/>
  <c r="E179" i="6"/>
  <c r="E178" i="6"/>
  <c r="E177" i="6"/>
  <c r="E151" i="6"/>
  <c r="E137" i="6"/>
  <c r="E128" i="6"/>
  <c r="E127" i="6"/>
  <c r="E124" i="6"/>
  <c r="E122" i="6"/>
  <c r="E119" i="6"/>
  <c r="E118" i="6"/>
  <c r="E111" i="6"/>
  <c r="E106" i="6"/>
  <c r="E104" i="6"/>
  <c r="E93" i="6"/>
  <c r="E16" i="6"/>
  <c r="E639" i="6" l="1"/>
  <c r="E641" i="6" l="1"/>
  <c r="E64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Guevara</author>
    <author>USER</author>
  </authors>
  <commentList>
    <comment ref="E55" authorId="0" shapeId="0" xr:uid="{9F3229D5-A431-4F77-861D-AD4880120CCC}">
      <text>
        <r>
          <rPr>
            <b/>
            <sz val="9"/>
            <color indexed="81"/>
            <rFont val="Tahoma"/>
            <family val="2"/>
          </rPr>
          <t>Fabian Guevara:</t>
        </r>
        <r>
          <rPr>
            <sz val="9"/>
            <color indexed="81"/>
            <rFont val="Tahoma"/>
            <family val="2"/>
          </rPr>
          <t xml:space="preserve">
20.000.000</t>
        </r>
      </text>
    </comment>
    <comment ref="E77" authorId="0" shapeId="0" xr:uid="{775F1805-C083-4817-8834-B31CC3B1D859}">
      <text>
        <r>
          <rPr>
            <b/>
            <sz val="9"/>
            <color indexed="81"/>
            <rFont val="Tahoma"/>
            <family val="2"/>
          </rPr>
          <t>Fabian Guevara:</t>
        </r>
        <r>
          <rPr>
            <sz val="9"/>
            <color indexed="81"/>
            <rFont val="Tahoma"/>
            <family val="2"/>
          </rPr>
          <t xml:space="preserve">
20.000.000 para 40"</t>
        </r>
      </text>
    </comment>
    <comment ref="E82" authorId="0" shapeId="0" xr:uid="{EB010995-D879-4357-B664-BD82A630FF74}">
      <text>
        <r>
          <rPr>
            <b/>
            <sz val="9"/>
            <color indexed="81"/>
            <rFont val="Tahoma"/>
            <family val="2"/>
          </rPr>
          <t>Fabian Guevara:</t>
        </r>
        <r>
          <rPr>
            <sz val="9"/>
            <color indexed="81"/>
            <rFont val="Tahoma"/>
            <family val="2"/>
          </rPr>
          <t xml:space="preserve">
5" para 45"</t>
        </r>
      </text>
    </comment>
    <comment ref="E86" authorId="0" shapeId="0" xr:uid="{988DACFA-8CBD-4EB9-B9BC-D0FC84FA7B0E}">
      <text>
        <r>
          <rPr>
            <b/>
            <sz val="9"/>
            <color indexed="81"/>
            <rFont val="Tahoma"/>
            <family val="2"/>
          </rPr>
          <t>Fabian Guevara:</t>
        </r>
        <r>
          <rPr>
            <sz val="9"/>
            <color indexed="81"/>
            <rFont val="Tahoma"/>
            <family val="2"/>
          </rPr>
          <t xml:space="preserve">
5" para 50"
</t>
        </r>
      </text>
    </comment>
    <comment ref="E163" authorId="1" shapeId="0" xr:uid="{77287020-3203-4352-9744-93F48CA0C2BF}">
      <text>
        <r>
          <rPr>
            <sz val="9"/>
            <color indexed="81"/>
            <rFont val="Tahoma"/>
            <family val="2"/>
          </rPr>
          <t>$ 340.000 Fenovas 09-04-26
$ 70.000 Tirillas 18-04-26
$ 240.000 Isoface 16-06-26
$ 59.000 Bucapina Varios 11-08-26
$ 280.000 Isoface 12-08-26
$ 97.000 Meformina 12-08-26</t>
        </r>
      </text>
    </comment>
  </commentList>
</comments>
</file>

<file path=xl/sharedStrings.xml><?xml version="1.0" encoding="utf-8"?>
<sst xmlns="http://schemas.openxmlformats.org/spreadsheetml/2006/main" count="2858" uniqueCount="261">
  <si>
    <t>Luz Nelly</t>
  </si>
  <si>
    <t>Emma</t>
  </si>
  <si>
    <t>Transferencia</t>
  </si>
  <si>
    <t>Efectivo</t>
  </si>
  <si>
    <t>VALOR</t>
  </si>
  <si>
    <t>Tatiana</t>
  </si>
  <si>
    <t>Fijo</t>
  </si>
  <si>
    <t>Variable</t>
  </si>
  <si>
    <t>PROVEEDOR</t>
  </si>
  <si>
    <t>CONCEPTO</t>
  </si>
  <si>
    <t>FACTURA</t>
  </si>
  <si>
    <t>VENCIMIENTO</t>
  </si>
  <si>
    <t>PAGADO CON</t>
  </si>
  <si>
    <t>EL DIA</t>
  </si>
  <si>
    <t>Invervisa</t>
  </si>
  <si>
    <t>Insumos</t>
  </si>
  <si>
    <t>Abril</t>
  </si>
  <si>
    <t>Mayo</t>
  </si>
  <si>
    <t>Guevara SDP</t>
  </si>
  <si>
    <t>Junio</t>
  </si>
  <si>
    <t>Julio</t>
  </si>
  <si>
    <t>Agosto</t>
  </si>
  <si>
    <t>Septiembre</t>
  </si>
  <si>
    <t>Movil Éxito</t>
  </si>
  <si>
    <t>Celular</t>
  </si>
  <si>
    <t>Octubre</t>
  </si>
  <si>
    <t>Triple A</t>
  </si>
  <si>
    <t>Camilo</t>
  </si>
  <si>
    <t>Programa contable</t>
  </si>
  <si>
    <t>Unidrogas</t>
  </si>
  <si>
    <t>Air-e</t>
  </si>
  <si>
    <t>Electricidad</t>
  </si>
  <si>
    <t>JN</t>
  </si>
  <si>
    <t>Marleydis</t>
  </si>
  <si>
    <t>Quincena</t>
  </si>
  <si>
    <t>Claro</t>
  </si>
  <si>
    <t>Internet - Telefono</t>
  </si>
  <si>
    <t>Andrw</t>
  </si>
  <si>
    <t>Impulso</t>
  </si>
  <si>
    <t>Medimarcas</t>
  </si>
  <si>
    <t>Inversiones 3R</t>
  </si>
  <si>
    <t>Arriendo</t>
  </si>
  <si>
    <t>Noviembre</t>
  </si>
  <si>
    <t>FV-1-15634</t>
  </si>
  <si>
    <t>FV-1-15685</t>
  </si>
  <si>
    <t>FV-1-16109</t>
  </si>
  <si>
    <t>FV-1-15715</t>
  </si>
  <si>
    <t>FV-1-15910</t>
  </si>
  <si>
    <t>FV-1-15994</t>
  </si>
  <si>
    <t>FV-1-16066</t>
  </si>
  <si>
    <t>Diciembre</t>
  </si>
  <si>
    <t>FV-1-16123</t>
  </si>
  <si>
    <t>Primas</t>
  </si>
  <si>
    <t>FV-1-16334</t>
  </si>
  <si>
    <t>FV-1-16403</t>
  </si>
  <si>
    <t>FV-1-16481</t>
  </si>
  <si>
    <t>FV-1-16482</t>
  </si>
  <si>
    <t>FV-1-16500</t>
  </si>
  <si>
    <t>FV-1-16502</t>
  </si>
  <si>
    <t>FV-1-16618</t>
  </si>
  <si>
    <t>FV-1-16636</t>
  </si>
  <si>
    <t>FV-1-16691</t>
  </si>
  <si>
    <t>FV-1-16781</t>
  </si>
  <si>
    <t>FV-1-16820</t>
  </si>
  <si>
    <t>FV-1-16895</t>
  </si>
  <si>
    <t>FV-1-16926</t>
  </si>
  <si>
    <t>FV-1-16994</t>
  </si>
  <si>
    <t>FV-1-16999</t>
  </si>
  <si>
    <t>Enero</t>
  </si>
  <si>
    <t>FV-1-17060</t>
  </si>
  <si>
    <t>FV-1-17089</t>
  </si>
  <si>
    <t>FV-1-17146</t>
  </si>
  <si>
    <t>FV-1-17237</t>
  </si>
  <si>
    <t>FV-1-17291</t>
  </si>
  <si>
    <t>FV-1-17302</t>
  </si>
  <si>
    <t>Practicante 1</t>
  </si>
  <si>
    <t>Practicante 2</t>
  </si>
  <si>
    <t>FV-1-17366</t>
  </si>
  <si>
    <t>FV-1-17371</t>
  </si>
  <si>
    <t>FV-1-17584</t>
  </si>
  <si>
    <t>FV-1-17499</t>
  </si>
  <si>
    <t>FV-1-17529</t>
  </si>
  <si>
    <t>FV-1-17628</t>
  </si>
  <si>
    <t>FV-1-17686</t>
  </si>
  <si>
    <t>FV-1-17767</t>
  </si>
  <si>
    <t>FV-1-17784</t>
  </si>
  <si>
    <t>Febrero</t>
  </si>
  <si>
    <t>FV-1-17892</t>
  </si>
  <si>
    <t>FV-1-17914</t>
  </si>
  <si>
    <t>FV-1-17970</t>
  </si>
  <si>
    <t>Practicante</t>
  </si>
  <si>
    <t>Marzo</t>
  </si>
  <si>
    <t>FV-1-18024</t>
  </si>
  <si>
    <t>FV-1-18112</t>
  </si>
  <si>
    <t>FV-1-18183</t>
  </si>
  <si>
    <t>FV-1-18211</t>
  </si>
  <si>
    <t>FV-1-18295</t>
  </si>
  <si>
    <t>FV-1-18401</t>
  </si>
  <si>
    <t>FV-1-18426</t>
  </si>
  <si>
    <t>FV-1-18433</t>
  </si>
  <si>
    <t>FV-1-18479</t>
  </si>
  <si>
    <t>FV-1-18502</t>
  </si>
  <si>
    <t>FV-1-18497</t>
  </si>
  <si>
    <t>FV-1-18537</t>
  </si>
  <si>
    <t>Coopidrogas</t>
  </si>
  <si>
    <t>FV-1-18615</t>
  </si>
  <si>
    <t>FV-1-18814</t>
  </si>
  <si>
    <t>FV-1-18813</t>
  </si>
  <si>
    <t>FV-1-18705</t>
  </si>
  <si>
    <t>FV-1-18739</t>
  </si>
  <si>
    <t>FV-1-18884</t>
  </si>
  <si>
    <t>Yodely</t>
  </si>
  <si>
    <t>Valery</t>
  </si>
  <si>
    <t>FV-1-18896</t>
  </si>
  <si>
    <t>FV-1-18937</t>
  </si>
  <si>
    <t>FV-1-18938</t>
  </si>
  <si>
    <t>Jaime Alvarez</t>
  </si>
  <si>
    <t>Liquidación</t>
  </si>
  <si>
    <t>Administración</t>
  </si>
  <si>
    <t>fijo</t>
  </si>
  <si>
    <t>TOTAL:</t>
  </si>
  <si>
    <t>Espuma</t>
  </si>
  <si>
    <t>Aguardiente</t>
  </si>
  <si>
    <t>Guacherna</t>
  </si>
  <si>
    <t>Carnavales</t>
  </si>
  <si>
    <t>FV-1-18968</t>
  </si>
  <si>
    <t>FV-1-19045</t>
  </si>
  <si>
    <t>FV-1-19103</t>
  </si>
  <si>
    <t>Tetras Licor</t>
  </si>
  <si>
    <t>Andres Morales</t>
  </si>
  <si>
    <t>Fabian Guevara</t>
  </si>
  <si>
    <t>Wisky - Ice</t>
  </si>
  <si>
    <t>FV-1-16790</t>
  </si>
  <si>
    <t>FV-1-19248</t>
  </si>
  <si>
    <t>FV-1-19208</t>
  </si>
  <si>
    <t>Licor</t>
  </si>
  <si>
    <t>FV-1-19356</t>
  </si>
  <si>
    <t>FV-1-19351</t>
  </si>
  <si>
    <t>FV-1-19391</t>
  </si>
  <si>
    <t>FV-1-19456</t>
  </si>
  <si>
    <t>FV-1-19129</t>
  </si>
  <si>
    <t>FV-1-19552</t>
  </si>
  <si>
    <t>Licores</t>
  </si>
  <si>
    <t>FV-1-19733</t>
  </si>
  <si>
    <t>FV-1-19647</t>
  </si>
  <si>
    <t>FV-1-19873</t>
  </si>
  <si>
    <t>FV-1-19808</t>
  </si>
  <si>
    <t>FV-1-14584</t>
  </si>
  <si>
    <t>FV-1-20106</t>
  </si>
  <si>
    <t>FV-1-20235</t>
  </si>
  <si>
    <t>FV-1-20326</t>
  </si>
  <si>
    <t>FV-1-20390</t>
  </si>
  <si>
    <t>FV-1-20506</t>
  </si>
  <si>
    <t>efectivo</t>
  </si>
  <si>
    <t>insumos</t>
  </si>
  <si>
    <t>FV-1-20687</t>
  </si>
  <si>
    <t>FV-1-20716</t>
  </si>
  <si>
    <t>FV-1-20738</t>
  </si>
  <si>
    <t>Raya</t>
  </si>
  <si>
    <t>FV-1-20819</t>
  </si>
  <si>
    <t>CC-1-407</t>
  </si>
  <si>
    <t>FV-1-20236</t>
  </si>
  <si>
    <t>FV-1-20569</t>
  </si>
  <si>
    <t>Ludy</t>
  </si>
  <si>
    <t>F-V-21553</t>
  </si>
  <si>
    <t>F-V-21525</t>
  </si>
  <si>
    <t>F-V-21488</t>
  </si>
  <si>
    <t>F-V-21399</t>
  </si>
  <si>
    <t>F-V-21460</t>
  </si>
  <si>
    <t xml:space="preserve">raya </t>
  </si>
  <si>
    <t>raya</t>
  </si>
  <si>
    <t>F-V-21674</t>
  </si>
  <si>
    <t>F-V-21702</t>
  </si>
  <si>
    <t>F-V-21796</t>
  </si>
  <si>
    <t>F-V-21833</t>
  </si>
  <si>
    <t>F-V-20900</t>
  </si>
  <si>
    <t>F-V-20988</t>
  </si>
  <si>
    <t>F-V-21069</t>
  </si>
  <si>
    <t>F-V-21109</t>
  </si>
  <si>
    <t>F-V-21206</t>
  </si>
  <si>
    <t>F-V-21982</t>
  </si>
  <si>
    <t>F-V-22006</t>
  </si>
  <si>
    <t>F-V-22105</t>
  </si>
  <si>
    <t>F-V-22138</t>
  </si>
  <si>
    <t>F-V-22168</t>
  </si>
  <si>
    <t>F-V-22164</t>
  </si>
  <si>
    <t>F-V-22289</t>
  </si>
  <si>
    <t>F-V- 22342</t>
  </si>
  <si>
    <t>F-V-22436</t>
  </si>
  <si>
    <t>F-V- 22289</t>
  </si>
  <si>
    <t>F-V 22598</t>
  </si>
  <si>
    <t>F-V-21262</t>
  </si>
  <si>
    <t>F-V-21275</t>
  </si>
  <si>
    <t>junio</t>
  </si>
  <si>
    <t>Total pagado mes:</t>
  </si>
  <si>
    <t>Total Facturado mes:</t>
  </si>
  <si>
    <t>Diferencia:</t>
  </si>
  <si>
    <t>F-V 24706</t>
  </si>
  <si>
    <t>indumo</t>
  </si>
  <si>
    <t>F-V-21912</t>
  </si>
  <si>
    <t>Olga</t>
  </si>
  <si>
    <t>F-V 24762</t>
  </si>
  <si>
    <t>F-V 24789</t>
  </si>
  <si>
    <t>F-V 24820</t>
  </si>
  <si>
    <t>F-V 24876</t>
  </si>
  <si>
    <t>F-V 24889</t>
  </si>
  <si>
    <t>F-V 25000</t>
  </si>
  <si>
    <t>F-V 25016</t>
  </si>
  <si>
    <t>F-V 25065</t>
  </si>
  <si>
    <t>F-V 25199</t>
  </si>
  <si>
    <t>F-V 25211</t>
  </si>
  <si>
    <t>F-V 22446</t>
  </si>
  <si>
    <t>F-V 22521</t>
  </si>
  <si>
    <t>F-V 22629</t>
  </si>
  <si>
    <t>F-V 22641</t>
  </si>
  <si>
    <t>F-V 22662</t>
  </si>
  <si>
    <t>F-V 22704</t>
  </si>
  <si>
    <t>F-V 22816</t>
  </si>
  <si>
    <t>F-V 22870</t>
  </si>
  <si>
    <t>F-V 22897</t>
  </si>
  <si>
    <t>F-V 22952</t>
  </si>
  <si>
    <t>F-V 23062</t>
  </si>
  <si>
    <t>F-V 23147</t>
  </si>
  <si>
    <t>F-V 23173</t>
  </si>
  <si>
    <t>F-V 23221</t>
  </si>
  <si>
    <t>F-V 23218</t>
  </si>
  <si>
    <t>F-V 23363</t>
  </si>
  <si>
    <t>F-V 23362</t>
  </si>
  <si>
    <t>F-V 23474</t>
  </si>
  <si>
    <t>F-V 23624</t>
  </si>
  <si>
    <t>F-V 23698</t>
  </si>
  <si>
    <t>F-V 23772</t>
  </si>
  <si>
    <t>F-V 23891</t>
  </si>
  <si>
    <t>F-V 23932</t>
  </si>
  <si>
    <t>F-V 24015</t>
  </si>
  <si>
    <t>F-V 24026</t>
  </si>
  <si>
    <t>F-V 24078</t>
  </si>
  <si>
    <t>F-V 24109</t>
  </si>
  <si>
    <t>F-V 24154</t>
  </si>
  <si>
    <t>F-V 24303</t>
  </si>
  <si>
    <t>F-V 24347</t>
  </si>
  <si>
    <t>F-V 24386</t>
  </si>
  <si>
    <t>F-V 24404</t>
  </si>
  <si>
    <t>F-V 24495</t>
  </si>
  <si>
    <t>F-V 24565</t>
  </si>
  <si>
    <t>26/06/2026</t>
  </si>
  <si>
    <t>F-V 23851</t>
  </si>
  <si>
    <t>F-V 23854</t>
  </si>
  <si>
    <t>F-V-25304</t>
  </si>
  <si>
    <t>F-V-25435</t>
  </si>
  <si>
    <t>F-V-25469</t>
  </si>
  <si>
    <t>F-V-25601</t>
  </si>
  <si>
    <t>F-V-25670</t>
  </si>
  <si>
    <t>F-V-25880</t>
  </si>
  <si>
    <t>F-V-25945</t>
  </si>
  <si>
    <t>31/09/2026</t>
  </si>
  <si>
    <t>F-V-25803</t>
  </si>
  <si>
    <t>F-V-26004</t>
  </si>
  <si>
    <t>F-V-26081</t>
  </si>
  <si>
    <t>F-V-26225</t>
  </si>
  <si>
    <t>F-V-26318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</si>
</sst>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240A]\ * #,##0_-;\-[$$-240A]\ * #,##0_-;_-[$$-240A]\ * &quot;-&quot;_-;_-@_-"/>
    <numFmt numFmtId="167" formatCode="_-* #,##0.00\ &quot;€&quot;_-;\-* #,##0.00\ &quot;€&quot;_-;_-* &quot;-&quot;??\ &quot;€&quot;_-;_-@_-"/>
    <numFmt numFmtId="168" formatCode="_-* #,##0.00\ _€_-;\-* #,##0.00\ _€_-;_-* &quot;-&quot;??\ _€_-;_-@_-"/>
    <numFmt numFmtId="171" formatCode="_-[$$-240A]\ * #,##0.00_-;\-[$$-240A]\ * #,##0.00_-;_-[$$-240A]\ * &quot;-&quot;??_-;_-@_-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</cellStyleXfs>
  <cellXfs count="37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164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4" fontId="1" fillId="9" borderId="1" xfId="0" applyNumberFormat="1" applyFont="1" applyFill="1" applyBorder="1" applyAlignment="1">
      <alignment horizontal="center" vertical="center"/>
    </xf>
    <xf numFmtId="164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1" fillId="11" borderId="1" xfId="0" applyNumberFormat="1" applyFont="1" applyFill="1" applyBorder="1" applyAlignment="1">
      <alignment horizontal="center" vertical="center"/>
    </xf>
    <xf numFmtId="164" fontId="1" fillId="7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71" fontId="1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</cellXfs>
  <cellStyles count="4">
    <cellStyle name="Millares 2" xfId="3" xr:uid="{4D0EC9AE-4342-456D-B9DB-74CB1208F25A}"/>
    <cellStyle name="Moneda 2" xfId="2" xr:uid="{64B1BA7A-41E2-47F9-8382-D6A238E928AF}"/>
    <cellStyle name="Normal" xfId="0" builtinId="0"/>
    <cellStyle name="Normal 2" xfId="1" xr:uid="{3A5D96B7-5B77-4C95-B758-5CB30A16319A}"/>
  </cellStyles>
  <dxfs count="0"/>
  <tableStyles count="0" defaultTableStyle="TableStyleMedium2" defaultPivotStyle="PivotStyleLight16"/>
  <colors>
    <mruColors>
      <color rgb="FF9933FF"/>
      <color rgb="FF6094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2921-3C88-4305-B420-E819C8736A5E}">
  <sheetPr filterMode="1"/>
  <dimension ref="A1:J643"/>
  <sheetViews>
    <sheetView showGridLines="0" tabSelected="1" workbookViewId="0">
      <pane ySplit="1" topLeftCell="A469" activePane="bottomLeft" state="frozen"/>
      <selection activeCell="G408" sqref="G408"/>
      <selection pane="bottomLeft" activeCell="B515" sqref="B515"/>
    </sheetView>
  </sheetViews>
  <sheetFormatPr baseColWidth="10" defaultRowHeight="12.75" x14ac:dyDescent="0.25"/>
  <cols>
    <col min="1" max="1" width="17.140625" style="6" bestFit="1" customWidth="1"/>
    <col min="2" max="2" width="16.7109375" style="6" bestFit="1" customWidth="1"/>
    <col min="3" max="3" width="14.28515625" style="6" bestFit="1" customWidth="1"/>
    <col min="4" max="4" width="18.28515625" style="6" bestFit="1" customWidth="1"/>
    <col min="5" max="5" width="13.85546875" style="1" bestFit="1" customWidth="1"/>
    <col min="6" max="6" width="18.140625" style="6" bestFit="1" customWidth="1"/>
    <col min="7" max="7" width="11.5703125" style="6" bestFit="1" customWidth="1"/>
    <col min="8" max="8" width="15.85546875" style="6" bestFit="1" customWidth="1"/>
    <col min="9" max="9" width="14.42578125" style="6" bestFit="1" customWidth="1"/>
    <col min="10" max="16384" width="11.42578125" style="6"/>
  </cols>
  <sheetData>
    <row r="1" spans="1:10" x14ac:dyDescent="0.25">
      <c r="A1" s="2" t="s">
        <v>8</v>
      </c>
      <c r="B1" s="9" t="s">
        <v>9</v>
      </c>
      <c r="C1" s="2" t="s">
        <v>10</v>
      </c>
      <c r="D1" s="2" t="s">
        <v>11</v>
      </c>
      <c r="E1" s="10" t="s">
        <v>4</v>
      </c>
      <c r="F1" s="2" t="s">
        <v>12</v>
      </c>
      <c r="G1" s="2" t="s">
        <v>13</v>
      </c>
      <c r="H1" s="9" t="s">
        <v>9</v>
      </c>
    </row>
    <row r="2" spans="1:10" ht="15" x14ac:dyDescent="0.25">
      <c r="A2" s="11" t="s">
        <v>14</v>
      </c>
      <c r="B2" s="11" t="s">
        <v>15</v>
      </c>
      <c r="C2" s="11" t="s">
        <v>16</v>
      </c>
      <c r="D2" s="12">
        <v>45803</v>
      </c>
      <c r="E2" s="13">
        <v>21514248</v>
      </c>
      <c r="F2" s="11" t="s">
        <v>3</v>
      </c>
      <c r="G2" s="12">
        <v>45838</v>
      </c>
      <c r="H2" s="11" t="s">
        <v>7</v>
      </c>
    </row>
    <row r="3" spans="1:10" x14ac:dyDescent="0.25">
      <c r="A3" s="11" t="s">
        <v>14</v>
      </c>
      <c r="B3" s="11" t="s">
        <v>15</v>
      </c>
      <c r="C3" s="11" t="s">
        <v>16</v>
      </c>
      <c r="D3" s="12">
        <v>45805</v>
      </c>
      <c r="E3" s="13">
        <v>12719832</v>
      </c>
      <c r="F3" s="11" t="s">
        <v>3</v>
      </c>
      <c r="G3" s="12">
        <v>45838</v>
      </c>
      <c r="H3" s="11" t="s">
        <v>7</v>
      </c>
    </row>
    <row r="4" spans="1:10" x14ac:dyDescent="0.25">
      <c r="A4" s="11" t="s">
        <v>14</v>
      </c>
      <c r="B4" s="11" t="s">
        <v>15</v>
      </c>
      <c r="C4" s="11" t="s">
        <v>16</v>
      </c>
      <c r="D4" s="12">
        <v>45806</v>
      </c>
      <c r="E4" s="13">
        <v>2857930</v>
      </c>
      <c r="F4" s="11" t="s">
        <v>3</v>
      </c>
      <c r="G4" s="12">
        <v>45838</v>
      </c>
      <c r="H4" s="11" t="s">
        <v>7</v>
      </c>
    </row>
    <row r="5" spans="1:10" x14ac:dyDescent="0.25">
      <c r="A5" s="11" t="s">
        <v>14</v>
      </c>
      <c r="B5" s="11" t="s">
        <v>15</v>
      </c>
      <c r="C5" s="11" t="s">
        <v>17</v>
      </c>
      <c r="D5" s="12">
        <v>45809</v>
      </c>
      <c r="E5" s="13">
        <v>995740</v>
      </c>
      <c r="F5" s="11" t="s">
        <v>3</v>
      </c>
      <c r="G5" s="12">
        <v>45838</v>
      </c>
      <c r="H5" s="11" t="s">
        <v>7</v>
      </c>
    </row>
    <row r="6" spans="1:10" x14ac:dyDescent="0.25">
      <c r="A6" s="11" t="s">
        <v>14</v>
      </c>
      <c r="B6" s="11" t="s">
        <v>15</v>
      </c>
      <c r="C6" s="11" t="s">
        <v>17</v>
      </c>
      <c r="D6" s="12">
        <v>45810</v>
      </c>
      <c r="E6" s="13">
        <v>658260</v>
      </c>
      <c r="F6" s="11" t="s">
        <v>3</v>
      </c>
      <c r="G6" s="12">
        <v>45838</v>
      </c>
      <c r="H6" s="11" t="s">
        <v>7</v>
      </c>
    </row>
    <row r="7" spans="1:10" hidden="1" x14ac:dyDescent="0.25">
      <c r="A7" s="11" t="s">
        <v>18</v>
      </c>
      <c r="B7" s="11" t="s">
        <v>15</v>
      </c>
      <c r="C7" s="11" t="s">
        <v>19</v>
      </c>
      <c r="D7" s="12">
        <v>45811</v>
      </c>
      <c r="E7" s="4">
        <v>3902010</v>
      </c>
      <c r="F7" s="11"/>
      <c r="G7" s="11"/>
      <c r="H7" s="11" t="s">
        <v>7</v>
      </c>
    </row>
    <row r="8" spans="1:10" hidden="1" x14ac:dyDescent="0.25">
      <c r="A8" s="11" t="s">
        <v>18</v>
      </c>
      <c r="B8" s="11" t="s">
        <v>15</v>
      </c>
      <c r="C8" s="11" t="s">
        <v>19</v>
      </c>
      <c r="D8" s="12">
        <v>45811</v>
      </c>
      <c r="E8" s="4">
        <v>621180</v>
      </c>
      <c r="F8" s="11"/>
      <c r="G8" s="11"/>
      <c r="H8" s="11" t="s">
        <v>7</v>
      </c>
    </row>
    <row r="9" spans="1:10" x14ac:dyDescent="0.25">
      <c r="A9" s="11" t="s">
        <v>14</v>
      </c>
      <c r="B9" s="11" t="s">
        <v>15</v>
      </c>
      <c r="C9" s="11" t="s">
        <v>17</v>
      </c>
      <c r="D9" s="12">
        <v>45812</v>
      </c>
      <c r="E9" s="13">
        <v>100500</v>
      </c>
      <c r="F9" s="11" t="s">
        <v>3</v>
      </c>
      <c r="G9" s="12">
        <v>45838</v>
      </c>
      <c r="H9" s="11" t="s">
        <v>7</v>
      </c>
    </row>
    <row r="10" spans="1:10" x14ac:dyDescent="0.25">
      <c r="A10" s="11" t="s">
        <v>14</v>
      </c>
      <c r="B10" s="11" t="s">
        <v>15</v>
      </c>
      <c r="C10" s="11" t="s">
        <v>17</v>
      </c>
      <c r="D10" s="12">
        <v>45813</v>
      </c>
      <c r="E10" s="13">
        <v>429773.99</v>
      </c>
      <c r="F10" s="11" t="s">
        <v>3</v>
      </c>
      <c r="G10" s="12">
        <v>45838</v>
      </c>
      <c r="H10" s="11" t="s">
        <v>7</v>
      </c>
    </row>
    <row r="11" spans="1:10" x14ac:dyDescent="0.25">
      <c r="A11" s="11" t="s">
        <v>14</v>
      </c>
      <c r="B11" s="11" t="s">
        <v>15</v>
      </c>
      <c r="C11" s="11" t="s">
        <v>17</v>
      </c>
      <c r="D11" s="12">
        <v>45814</v>
      </c>
      <c r="E11" s="13">
        <v>395100</v>
      </c>
      <c r="F11" s="11" t="s">
        <v>3</v>
      </c>
      <c r="G11" s="12">
        <v>45838</v>
      </c>
      <c r="H11" s="11" t="s">
        <v>7</v>
      </c>
    </row>
    <row r="12" spans="1:10" x14ac:dyDescent="0.25">
      <c r="A12" s="11" t="s">
        <v>14</v>
      </c>
      <c r="B12" s="11" t="s">
        <v>15</v>
      </c>
      <c r="C12" s="11" t="s">
        <v>17</v>
      </c>
      <c r="D12" s="12">
        <v>45815</v>
      </c>
      <c r="E12" s="13">
        <v>511984</v>
      </c>
      <c r="F12" s="11" t="s">
        <v>3</v>
      </c>
      <c r="G12" s="12">
        <v>45838</v>
      </c>
      <c r="H12" s="11" t="s">
        <v>7</v>
      </c>
    </row>
    <row r="13" spans="1:10" x14ac:dyDescent="0.25">
      <c r="A13" s="11" t="s">
        <v>14</v>
      </c>
      <c r="B13" s="11" t="s">
        <v>15</v>
      </c>
      <c r="C13" s="11" t="s">
        <v>17</v>
      </c>
      <c r="D13" s="12">
        <v>45816</v>
      </c>
      <c r="E13" s="13">
        <v>359140</v>
      </c>
      <c r="F13" s="11" t="s">
        <v>3</v>
      </c>
      <c r="G13" s="12">
        <v>45838</v>
      </c>
      <c r="H13" s="11" t="s">
        <v>7</v>
      </c>
    </row>
    <row r="14" spans="1:10" x14ac:dyDescent="0.25">
      <c r="A14" s="11" t="s">
        <v>14</v>
      </c>
      <c r="B14" s="11" t="s">
        <v>15</v>
      </c>
      <c r="C14" s="11" t="s">
        <v>17</v>
      </c>
      <c r="D14" s="12">
        <v>45817</v>
      </c>
      <c r="E14" s="13">
        <v>1506250</v>
      </c>
      <c r="F14" s="11" t="s">
        <v>3</v>
      </c>
      <c r="G14" s="12">
        <v>45838</v>
      </c>
      <c r="H14" s="11" t="s">
        <v>7</v>
      </c>
    </row>
    <row r="15" spans="1:10" x14ac:dyDescent="0.25">
      <c r="A15" s="11" t="s">
        <v>14</v>
      </c>
      <c r="B15" s="11" t="s">
        <v>15</v>
      </c>
      <c r="C15" s="11" t="s">
        <v>17</v>
      </c>
      <c r="D15" s="12">
        <v>45818</v>
      </c>
      <c r="E15" s="13">
        <v>180000</v>
      </c>
      <c r="F15" s="11" t="s">
        <v>3</v>
      </c>
      <c r="G15" s="12">
        <v>45838</v>
      </c>
      <c r="H15" s="11" t="s">
        <v>7</v>
      </c>
      <c r="J15" s="1"/>
    </row>
    <row r="16" spans="1:10" x14ac:dyDescent="0.25">
      <c r="A16" s="11" t="s">
        <v>14</v>
      </c>
      <c r="B16" s="11" t="s">
        <v>15</v>
      </c>
      <c r="C16" s="11" t="s">
        <v>17</v>
      </c>
      <c r="D16" s="12">
        <v>45819</v>
      </c>
      <c r="E16" s="13">
        <f>1582100</f>
        <v>1582100</v>
      </c>
      <c r="F16" s="11" t="s">
        <v>3</v>
      </c>
      <c r="G16" s="12">
        <v>45838</v>
      </c>
      <c r="H16" s="11" t="s">
        <v>7</v>
      </c>
    </row>
    <row r="17" spans="1:8" x14ac:dyDescent="0.25">
      <c r="A17" s="11" t="s">
        <v>14</v>
      </c>
      <c r="B17" s="11" t="s">
        <v>15</v>
      </c>
      <c r="C17" s="11" t="s">
        <v>17</v>
      </c>
      <c r="D17" s="12">
        <v>45820</v>
      </c>
      <c r="E17" s="13">
        <v>173400</v>
      </c>
      <c r="F17" s="11" t="s">
        <v>3</v>
      </c>
      <c r="G17" s="12">
        <v>45838</v>
      </c>
      <c r="H17" s="11" t="s">
        <v>7</v>
      </c>
    </row>
    <row r="18" spans="1:8" x14ac:dyDescent="0.25">
      <c r="A18" s="11" t="s">
        <v>14</v>
      </c>
      <c r="B18" s="11" t="s">
        <v>15</v>
      </c>
      <c r="C18" s="11" t="s">
        <v>17</v>
      </c>
      <c r="D18" s="12">
        <v>45821</v>
      </c>
      <c r="E18" s="13">
        <v>924000</v>
      </c>
      <c r="F18" s="11" t="s">
        <v>3</v>
      </c>
      <c r="G18" s="12">
        <v>45838</v>
      </c>
      <c r="H18" s="11" t="s">
        <v>7</v>
      </c>
    </row>
    <row r="19" spans="1:8" x14ac:dyDescent="0.25">
      <c r="A19" s="11" t="s">
        <v>14</v>
      </c>
      <c r="B19" s="11" t="s">
        <v>15</v>
      </c>
      <c r="C19" s="11" t="s">
        <v>17</v>
      </c>
      <c r="D19" s="12">
        <v>45822</v>
      </c>
      <c r="E19" s="13">
        <v>345174</v>
      </c>
      <c r="F19" s="11" t="s">
        <v>3</v>
      </c>
      <c r="G19" s="12">
        <v>45838</v>
      </c>
      <c r="H19" s="11" t="s">
        <v>7</v>
      </c>
    </row>
    <row r="20" spans="1:8" x14ac:dyDescent="0.25">
      <c r="A20" s="11" t="s">
        <v>14</v>
      </c>
      <c r="B20" s="11" t="s">
        <v>15</v>
      </c>
      <c r="C20" s="11" t="s">
        <v>17</v>
      </c>
      <c r="D20" s="12">
        <v>45823</v>
      </c>
      <c r="E20" s="13">
        <v>941037</v>
      </c>
      <c r="F20" s="11" t="s">
        <v>3</v>
      </c>
      <c r="G20" s="12">
        <v>45838</v>
      </c>
      <c r="H20" s="11" t="s">
        <v>7</v>
      </c>
    </row>
    <row r="21" spans="1:8" x14ac:dyDescent="0.25">
      <c r="A21" s="11" t="s">
        <v>14</v>
      </c>
      <c r="B21" s="11" t="s">
        <v>15</v>
      </c>
      <c r="C21" s="11" t="s">
        <v>17</v>
      </c>
      <c r="D21" s="12">
        <v>45824</v>
      </c>
      <c r="E21" s="13">
        <v>1829100</v>
      </c>
      <c r="F21" s="11" t="s">
        <v>3</v>
      </c>
      <c r="G21" s="12">
        <v>45838</v>
      </c>
      <c r="H21" s="11" t="s">
        <v>7</v>
      </c>
    </row>
    <row r="22" spans="1:8" x14ac:dyDescent="0.25">
      <c r="A22" s="11" t="s">
        <v>14</v>
      </c>
      <c r="B22" s="11" t="s">
        <v>15</v>
      </c>
      <c r="C22" s="11" t="s">
        <v>17</v>
      </c>
      <c r="D22" s="12">
        <v>45826</v>
      </c>
      <c r="E22" s="13">
        <v>1694647</v>
      </c>
      <c r="F22" s="11" t="s">
        <v>3</v>
      </c>
      <c r="G22" s="12">
        <v>45838</v>
      </c>
      <c r="H22" s="11" t="s">
        <v>7</v>
      </c>
    </row>
    <row r="23" spans="1:8" x14ac:dyDescent="0.25">
      <c r="A23" s="11" t="s">
        <v>14</v>
      </c>
      <c r="B23" s="11" t="s">
        <v>15</v>
      </c>
      <c r="C23" s="11" t="s">
        <v>17</v>
      </c>
      <c r="D23" s="12">
        <v>45827</v>
      </c>
      <c r="E23" s="13">
        <v>152400</v>
      </c>
      <c r="F23" s="11" t="s">
        <v>3</v>
      </c>
      <c r="G23" s="12">
        <v>45838</v>
      </c>
      <c r="H23" s="11" t="s">
        <v>7</v>
      </c>
    </row>
    <row r="24" spans="1:8" x14ac:dyDescent="0.25">
      <c r="A24" s="11" t="s">
        <v>14</v>
      </c>
      <c r="B24" s="11" t="s">
        <v>15</v>
      </c>
      <c r="C24" s="11" t="s">
        <v>17</v>
      </c>
      <c r="D24" s="12">
        <v>45828</v>
      </c>
      <c r="E24" s="13">
        <v>2381900</v>
      </c>
      <c r="F24" s="11" t="s">
        <v>3</v>
      </c>
      <c r="G24" s="12">
        <v>45838</v>
      </c>
      <c r="H24" s="11" t="s">
        <v>7</v>
      </c>
    </row>
    <row r="25" spans="1:8" x14ac:dyDescent="0.25">
      <c r="A25" s="11" t="s">
        <v>14</v>
      </c>
      <c r="B25" s="11" t="s">
        <v>15</v>
      </c>
      <c r="C25" s="11" t="s">
        <v>17</v>
      </c>
      <c r="D25" s="12">
        <v>45829</v>
      </c>
      <c r="E25" s="13">
        <v>798800</v>
      </c>
      <c r="F25" s="11" t="s">
        <v>3</v>
      </c>
      <c r="G25" s="12">
        <v>45838</v>
      </c>
      <c r="H25" s="11" t="s">
        <v>7</v>
      </c>
    </row>
    <row r="26" spans="1:8" x14ac:dyDescent="0.25">
      <c r="A26" s="11" t="s">
        <v>14</v>
      </c>
      <c r="B26" s="11" t="s">
        <v>15</v>
      </c>
      <c r="C26" s="11" t="s">
        <v>17</v>
      </c>
      <c r="D26" s="12">
        <v>45830</v>
      </c>
      <c r="E26" s="13">
        <v>307900</v>
      </c>
      <c r="F26" s="11" t="s">
        <v>3</v>
      </c>
      <c r="G26" s="12">
        <v>45838</v>
      </c>
      <c r="H26" s="11" t="s">
        <v>7</v>
      </c>
    </row>
    <row r="27" spans="1:8" x14ac:dyDescent="0.25">
      <c r="A27" s="11" t="s">
        <v>14</v>
      </c>
      <c r="B27" s="11" t="s">
        <v>15</v>
      </c>
      <c r="C27" s="11" t="s">
        <v>17</v>
      </c>
      <c r="D27" s="12">
        <v>45833</v>
      </c>
      <c r="E27" s="13">
        <v>1969800</v>
      </c>
      <c r="F27" s="11" t="s">
        <v>3</v>
      </c>
      <c r="G27" s="12">
        <v>45838</v>
      </c>
      <c r="H27" s="11" t="s">
        <v>7</v>
      </c>
    </row>
    <row r="28" spans="1:8" x14ac:dyDescent="0.25">
      <c r="A28" s="11" t="s">
        <v>14</v>
      </c>
      <c r="B28" s="11" t="s">
        <v>15</v>
      </c>
      <c r="C28" s="11" t="s">
        <v>17</v>
      </c>
      <c r="D28" s="12">
        <v>45834</v>
      </c>
      <c r="E28" s="13">
        <v>402600</v>
      </c>
      <c r="F28" s="11" t="s">
        <v>3</v>
      </c>
      <c r="G28" s="12">
        <v>45838</v>
      </c>
      <c r="H28" s="11" t="s">
        <v>7</v>
      </c>
    </row>
    <row r="29" spans="1:8" x14ac:dyDescent="0.25">
      <c r="A29" s="11" t="s">
        <v>14</v>
      </c>
      <c r="B29" s="11" t="s">
        <v>15</v>
      </c>
      <c r="C29" s="11" t="s">
        <v>17</v>
      </c>
      <c r="D29" s="12">
        <v>45835</v>
      </c>
      <c r="E29" s="13">
        <v>846500</v>
      </c>
      <c r="F29" s="11" t="s">
        <v>3</v>
      </c>
      <c r="G29" s="12">
        <v>45838</v>
      </c>
      <c r="H29" s="11" t="s">
        <v>7</v>
      </c>
    </row>
    <row r="30" spans="1:8" x14ac:dyDescent="0.25">
      <c r="A30" s="11" t="s">
        <v>14</v>
      </c>
      <c r="B30" s="11" t="s">
        <v>15</v>
      </c>
      <c r="C30" s="11" t="s">
        <v>17</v>
      </c>
      <c r="D30" s="12">
        <v>45836</v>
      </c>
      <c r="E30" s="13">
        <v>1166200</v>
      </c>
      <c r="F30" s="11" t="s">
        <v>3</v>
      </c>
      <c r="G30" s="12">
        <v>45838</v>
      </c>
      <c r="H30" s="11" t="s">
        <v>7</v>
      </c>
    </row>
    <row r="31" spans="1:8" x14ac:dyDescent="0.25">
      <c r="A31" s="11" t="s">
        <v>14</v>
      </c>
      <c r="B31" s="11" t="s">
        <v>15</v>
      </c>
      <c r="C31" s="11" t="s">
        <v>17</v>
      </c>
      <c r="D31" s="12">
        <v>45838</v>
      </c>
      <c r="E31" s="13">
        <v>551300</v>
      </c>
      <c r="F31" s="11" t="s">
        <v>3</v>
      </c>
      <c r="G31" s="12">
        <v>45838</v>
      </c>
      <c r="H31" s="11" t="s">
        <v>7</v>
      </c>
    </row>
    <row r="32" spans="1:8" x14ac:dyDescent="0.25">
      <c r="A32" s="11" t="s">
        <v>14</v>
      </c>
      <c r="B32" s="11" t="s">
        <v>15</v>
      </c>
      <c r="C32" s="11" t="s">
        <v>19</v>
      </c>
      <c r="D32" s="12">
        <v>45841</v>
      </c>
      <c r="E32" s="14">
        <v>1516900</v>
      </c>
      <c r="F32" s="15" t="s">
        <v>3</v>
      </c>
      <c r="G32" s="16">
        <v>45850</v>
      </c>
      <c r="H32" s="11" t="s">
        <v>7</v>
      </c>
    </row>
    <row r="33" spans="1:8" x14ac:dyDescent="0.25">
      <c r="A33" s="11" t="s">
        <v>14</v>
      </c>
      <c r="B33" s="11" t="s">
        <v>15</v>
      </c>
      <c r="C33" s="11" t="s">
        <v>19</v>
      </c>
      <c r="D33" s="12">
        <v>45842</v>
      </c>
      <c r="E33" s="14">
        <v>1149600</v>
      </c>
      <c r="F33" s="15" t="s">
        <v>3</v>
      </c>
      <c r="G33" s="16">
        <v>45850</v>
      </c>
      <c r="H33" s="11" t="s">
        <v>7</v>
      </c>
    </row>
    <row r="34" spans="1:8" x14ac:dyDescent="0.25">
      <c r="A34" s="11" t="s">
        <v>14</v>
      </c>
      <c r="B34" s="11" t="s">
        <v>15</v>
      </c>
      <c r="C34" s="11" t="s">
        <v>19</v>
      </c>
      <c r="D34" s="12">
        <v>45843</v>
      </c>
      <c r="E34" s="14">
        <v>631300</v>
      </c>
      <c r="F34" s="15" t="s">
        <v>3</v>
      </c>
      <c r="G34" s="16">
        <v>45850</v>
      </c>
      <c r="H34" s="11" t="s">
        <v>7</v>
      </c>
    </row>
    <row r="35" spans="1:8" x14ac:dyDescent="0.25">
      <c r="A35" s="11" t="s">
        <v>14</v>
      </c>
      <c r="B35" s="11" t="s">
        <v>15</v>
      </c>
      <c r="C35" s="11" t="s">
        <v>19</v>
      </c>
      <c r="D35" s="12">
        <v>45844</v>
      </c>
      <c r="E35" s="14">
        <v>312600</v>
      </c>
      <c r="F35" s="15" t="s">
        <v>3</v>
      </c>
      <c r="G35" s="16">
        <v>45850</v>
      </c>
      <c r="H35" s="11" t="s">
        <v>7</v>
      </c>
    </row>
    <row r="36" spans="1:8" x14ac:dyDescent="0.25">
      <c r="A36" s="11" t="s">
        <v>14</v>
      </c>
      <c r="B36" s="11" t="s">
        <v>15</v>
      </c>
      <c r="C36" s="11" t="s">
        <v>19</v>
      </c>
      <c r="D36" s="12">
        <v>45845</v>
      </c>
      <c r="E36" s="14">
        <v>519080</v>
      </c>
      <c r="F36" s="15" t="s">
        <v>3</v>
      </c>
      <c r="G36" s="16">
        <v>45850</v>
      </c>
      <c r="H36" s="11" t="s">
        <v>7</v>
      </c>
    </row>
    <row r="37" spans="1:8" x14ac:dyDescent="0.25">
      <c r="A37" s="11" t="s">
        <v>14</v>
      </c>
      <c r="B37" s="11" t="s">
        <v>15</v>
      </c>
      <c r="C37" s="11" t="s">
        <v>19</v>
      </c>
      <c r="D37" s="12">
        <v>45847</v>
      </c>
      <c r="E37" s="14">
        <v>989260</v>
      </c>
      <c r="F37" s="15" t="s">
        <v>3</v>
      </c>
      <c r="G37" s="16">
        <v>45850</v>
      </c>
      <c r="H37" s="11" t="s">
        <v>7</v>
      </c>
    </row>
    <row r="38" spans="1:8" x14ac:dyDescent="0.25">
      <c r="A38" s="11" t="s">
        <v>14</v>
      </c>
      <c r="B38" s="11" t="s">
        <v>15</v>
      </c>
      <c r="C38" s="11" t="s">
        <v>19</v>
      </c>
      <c r="D38" s="12">
        <v>45848</v>
      </c>
      <c r="E38" s="14">
        <v>420150</v>
      </c>
      <c r="F38" s="15" t="s">
        <v>3</v>
      </c>
      <c r="G38" s="16">
        <v>45850</v>
      </c>
      <c r="H38" s="11" t="s">
        <v>7</v>
      </c>
    </row>
    <row r="39" spans="1:8" x14ac:dyDescent="0.25">
      <c r="A39" s="11" t="s">
        <v>14</v>
      </c>
      <c r="B39" s="11" t="s">
        <v>15</v>
      </c>
      <c r="C39" s="11" t="s">
        <v>19</v>
      </c>
      <c r="D39" s="12">
        <v>45849</v>
      </c>
      <c r="E39" s="14">
        <v>1605500</v>
      </c>
      <c r="F39" s="15" t="s">
        <v>3</v>
      </c>
      <c r="G39" s="16">
        <v>45850</v>
      </c>
      <c r="H39" s="11" t="s">
        <v>7</v>
      </c>
    </row>
    <row r="40" spans="1:8" x14ac:dyDescent="0.25">
      <c r="A40" s="11" t="s">
        <v>14</v>
      </c>
      <c r="B40" s="11" t="s">
        <v>15</v>
      </c>
      <c r="C40" s="11" t="s">
        <v>19</v>
      </c>
      <c r="D40" s="12">
        <v>45850</v>
      </c>
      <c r="E40" s="14">
        <v>667800</v>
      </c>
      <c r="F40" s="15" t="s">
        <v>3</v>
      </c>
      <c r="G40" s="16">
        <v>45850</v>
      </c>
      <c r="H40" s="11" t="s">
        <v>7</v>
      </c>
    </row>
    <row r="41" spans="1:8" x14ac:dyDescent="0.25">
      <c r="A41" s="11" t="s">
        <v>14</v>
      </c>
      <c r="B41" s="11" t="s">
        <v>15</v>
      </c>
      <c r="C41" s="11" t="s">
        <v>19</v>
      </c>
      <c r="D41" s="12">
        <v>45851</v>
      </c>
      <c r="E41" s="14">
        <v>732250</v>
      </c>
      <c r="F41" s="15" t="s">
        <v>3</v>
      </c>
      <c r="G41" s="16">
        <v>45850</v>
      </c>
      <c r="H41" s="11" t="s">
        <v>7</v>
      </c>
    </row>
    <row r="42" spans="1:8" x14ac:dyDescent="0.25">
      <c r="A42" s="11" t="s">
        <v>14</v>
      </c>
      <c r="B42" s="11" t="s">
        <v>15</v>
      </c>
      <c r="C42" s="11" t="s">
        <v>19</v>
      </c>
      <c r="D42" s="12">
        <v>45854</v>
      </c>
      <c r="E42" s="14">
        <v>836250</v>
      </c>
      <c r="F42" s="15" t="s">
        <v>3</v>
      </c>
      <c r="G42" s="16">
        <v>45850</v>
      </c>
      <c r="H42" s="11" t="s">
        <v>7</v>
      </c>
    </row>
    <row r="43" spans="1:8" x14ac:dyDescent="0.25">
      <c r="A43" s="11" t="s">
        <v>14</v>
      </c>
      <c r="B43" s="11" t="s">
        <v>15</v>
      </c>
      <c r="C43" s="11" t="s">
        <v>19</v>
      </c>
      <c r="D43" s="12">
        <v>45856</v>
      </c>
      <c r="E43" s="14">
        <v>822880</v>
      </c>
      <c r="F43" s="15" t="s">
        <v>3</v>
      </c>
      <c r="G43" s="16">
        <v>45850</v>
      </c>
      <c r="H43" s="11" t="s">
        <v>7</v>
      </c>
    </row>
    <row r="44" spans="1:8" x14ac:dyDescent="0.25">
      <c r="A44" s="11" t="s">
        <v>14</v>
      </c>
      <c r="B44" s="11" t="s">
        <v>15</v>
      </c>
      <c r="C44" s="11" t="s">
        <v>19</v>
      </c>
      <c r="D44" s="12">
        <v>45857</v>
      </c>
      <c r="E44" s="14">
        <v>875200</v>
      </c>
      <c r="F44" s="15" t="s">
        <v>3</v>
      </c>
      <c r="G44" s="16">
        <v>45850</v>
      </c>
      <c r="H44" s="11" t="s">
        <v>7</v>
      </c>
    </row>
    <row r="45" spans="1:8" x14ac:dyDescent="0.25">
      <c r="A45" s="11" t="s">
        <v>14</v>
      </c>
      <c r="B45" s="11" t="s">
        <v>15</v>
      </c>
      <c r="C45" s="11" t="s">
        <v>19</v>
      </c>
      <c r="D45" s="12">
        <v>45858</v>
      </c>
      <c r="E45" s="14">
        <v>548550</v>
      </c>
      <c r="F45" s="15" t="s">
        <v>3</v>
      </c>
      <c r="G45" s="16">
        <v>45850</v>
      </c>
      <c r="H45" s="11" t="s">
        <v>7</v>
      </c>
    </row>
    <row r="46" spans="1:8" x14ac:dyDescent="0.25">
      <c r="A46" s="11" t="s">
        <v>14</v>
      </c>
      <c r="B46" s="11" t="s">
        <v>15</v>
      </c>
      <c r="C46" s="11" t="s">
        <v>19</v>
      </c>
      <c r="D46" s="12">
        <v>45859</v>
      </c>
      <c r="E46" s="14">
        <v>188300</v>
      </c>
      <c r="F46" s="15" t="s">
        <v>3</v>
      </c>
      <c r="G46" s="16">
        <v>45850</v>
      </c>
      <c r="H46" s="11" t="s">
        <v>7</v>
      </c>
    </row>
    <row r="47" spans="1:8" x14ac:dyDescent="0.25">
      <c r="A47" s="11" t="s">
        <v>14</v>
      </c>
      <c r="B47" s="11" t="s">
        <v>15</v>
      </c>
      <c r="C47" s="11" t="s">
        <v>19</v>
      </c>
      <c r="D47" s="12">
        <v>45863</v>
      </c>
      <c r="E47" s="14">
        <v>1108340</v>
      </c>
      <c r="F47" s="15" t="s">
        <v>3</v>
      </c>
      <c r="G47" s="16">
        <v>45850</v>
      </c>
      <c r="H47" s="11" t="s">
        <v>7</v>
      </c>
    </row>
    <row r="48" spans="1:8" x14ac:dyDescent="0.25">
      <c r="A48" s="11" t="s">
        <v>14</v>
      </c>
      <c r="B48" s="11" t="s">
        <v>15</v>
      </c>
      <c r="C48" s="11" t="s">
        <v>19</v>
      </c>
      <c r="D48" s="12">
        <v>45865</v>
      </c>
      <c r="E48" s="14">
        <v>903050</v>
      </c>
      <c r="F48" s="15" t="s">
        <v>3</v>
      </c>
      <c r="G48" s="16">
        <v>45850</v>
      </c>
      <c r="H48" s="11" t="s">
        <v>7</v>
      </c>
    </row>
    <row r="49" spans="1:8" x14ac:dyDescent="0.25">
      <c r="A49" s="11" t="s">
        <v>14</v>
      </c>
      <c r="B49" s="11" t="s">
        <v>15</v>
      </c>
      <c r="C49" s="11" t="s">
        <v>20</v>
      </c>
      <c r="D49" s="12">
        <v>45869</v>
      </c>
      <c r="E49" s="14">
        <v>801310</v>
      </c>
      <c r="F49" s="15" t="s">
        <v>3</v>
      </c>
      <c r="G49" s="16">
        <v>45850</v>
      </c>
      <c r="H49" s="11" t="s">
        <v>7</v>
      </c>
    </row>
    <row r="50" spans="1:8" x14ac:dyDescent="0.25">
      <c r="A50" s="11" t="s">
        <v>14</v>
      </c>
      <c r="B50" s="11" t="s">
        <v>15</v>
      </c>
      <c r="C50" s="11" t="s">
        <v>20</v>
      </c>
      <c r="D50" s="12">
        <v>45870</v>
      </c>
      <c r="E50" s="14">
        <v>859700</v>
      </c>
      <c r="F50" s="15" t="s">
        <v>3</v>
      </c>
      <c r="G50" s="16">
        <v>45850</v>
      </c>
      <c r="H50" s="11" t="s">
        <v>7</v>
      </c>
    </row>
    <row r="51" spans="1:8" x14ac:dyDescent="0.25">
      <c r="A51" s="11" t="s">
        <v>14</v>
      </c>
      <c r="B51" s="11" t="s">
        <v>15</v>
      </c>
      <c r="C51" s="11" t="s">
        <v>20</v>
      </c>
      <c r="D51" s="12">
        <v>45871</v>
      </c>
      <c r="E51" s="14">
        <v>1081183</v>
      </c>
      <c r="F51" s="15" t="s">
        <v>3</v>
      </c>
      <c r="G51" s="16">
        <v>45850</v>
      </c>
      <c r="H51" s="11" t="s">
        <v>7</v>
      </c>
    </row>
    <row r="52" spans="1:8" x14ac:dyDescent="0.25">
      <c r="A52" s="11" t="s">
        <v>14</v>
      </c>
      <c r="B52" s="11" t="s">
        <v>15</v>
      </c>
      <c r="C52" s="11" t="s">
        <v>20</v>
      </c>
      <c r="D52" s="12">
        <v>45872</v>
      </c>
      <c r="E52" s="14">
        <v>28500</v>
      </c>
      <c r="F52" s="15" t="s">
        <v>3</v>
      </c>
      <c r="G52" s="16">
        <v>45850</v>
      </c>
      <c r="H52" s="11" t="s">
        <v>7</v>
      </c>
    </row>
    <row r="53" spans="1:8" x14ac:dyDescent="0.25">
      <c r="A53" s="11" t="s">
        <v>14</v>
      </c>
      <c r="B53" s="11" t="s">
        <v>15</v>
      </c>
      <c r="C53" s="11" t="s">
        <v>20</v>
      </c>
      <c r="D53" s="12">
        <v>45875</v>
      </c>
      <c r="E53" s="14">
        <v>1248955</v>
      </c>
      <c r="F53" s="15" t="s">
        <v>3</v>
      </c>
      <c r="G53" s="16">
        <v>45850</v>
      </c>
      <c r="H53" s="11" t="s">
        <v>7</v>
      </c>
    </row>
    <row r="54" spans="1:8" x14ac:dyDescent="0.25">
      <c r="A54" s="11" t="s">
        <v>14</v>
      </c>
      <c r="B54" s="11" t="s">
        <v>15</v>
      </c>
      <c r="C54" s="11" t="s">
        <v>20</v>
      </c>
      <c r="D54" s="12">
        <v>45878</v>
      </c>
      <c r="E54" s="14">
        <v>1698280</v>
      </c>
      <c r="F54" s="15" t="s">
        <v>3</v>
      </c>
      <c r="G54" s="16">
        <v>45850</v>
      </c>
      <c r="H54" s="11" t="s">
        <v>7</v>
      </c>
    </row>
    <row r="55" spans="1:8" x14ac:dyDescent="0.25">
      <c r="A55" s="11" t="s">
        <v>14</v>
      </c>
      <c r="B55" s="11" t="s">
        <v>15</v>
      </c>
      <c r="C55" s="11" t="s">
        <v>20</v>
      </c>
      <c r="D55" s="12">
        <v>45879</v>
      </c>
      <c r="E55" s="14">
        <v>527110</v>
      </c>
      <c r="F55" s="15" t="s">
        <v>3</v>
      </c>
      <c r="G55" s="16">
        <v>45850</v>
      </c>
      <c r="H55" s="11" t="s">
        <v>7</v>
      </c>
    </row>
    <row r="56" spans="1:8" x14ac:dyDescent="0.25">
      <c r="A56" s="11" t="s">
        <v>14</v>
      </c>
      <c r="B56" s="11" t="s">
        <v>15</v>
      </c>
      <c r="C56" s="11" t="s">
        <v>20</v>
      </c>
      <c r="D56" s="12">
        <v>45880</v>
      </c>
      <c r="E56" s="17">
        <v>714900</v>
      </c>
      <c r="F56" s="18" t="s">
        <v>3</v>
      </c>
      <c r="G56" s="19">
        <v>45895</v>
      </c>
      <c r="H56" s="11" t="s">
        <v>7</v>
      </c>
    </row>
    <row r="57" spans="1:8" x14ac:dyDescent="0.25">
      <c r="A57" s="11" t="s">
        <v>14</v>
      </c>
      <c r="B57" s="11" t="s">
        <v>15</v>
      </c>
      <c r="C57" s="11" t="s">
        <v>20</v>
      </c>
      <c r="D57" s="12">
        <v>45882</v>
      </c>
      <c r="E57" s="17">
        <v>797300</v>
      </c>
      <c r="F57" s="18" t="s">
        <v>3</v>
      </c>
      <c r="G57" s="19">
        <v>45895</v>
      </c>
      <c r="H57" s="11" t="s">
        <v>7</v>
      </c>
    </row>
    <row r="58" spans="1:8" x14ac:dyDescent="0.25">
      <c r="A58" s="11" t="s">
        <v>14</v>
      </c>
      <c r="B58" s="11" t="s">
        <v>15</v>
      </c>
      <c r="C58" s="11" t="s">
        <v>20</v>
      </c>
      <c r="D58" s="12">
        <v>45884</v>
      </c>
      <c r="E58" s="17">
        <v>1033770</v>
      </c>
      <c r="F58" s="18" t="s">
        <v>3</v>
      </c>
      <c r="G58" s="19">
        <v>45895</v>
      </c>
      <c r="H58" s="11" t="s">
        <v>7</v>
      </c>
    </row>
    <row r="59" spans="1:8" x14ac:dyDescent="0.25">
      <c r="A59" s="11" t="s">
        <v>14</v>
      </c>
      <c r="B59" s="11" t="s">
        <v>15</v>
      </c>
      <c r="C59" s="11" t="s">
        <v>20</v>
      </c>
      <c r="D59" s="12">
        <v>45886</v>
      </c>
      <c r="E59" s="17">
        <v>1493200</v>
      </c>
      <c r="F59" s="18" t="s">
        <v>3</v>
      </c>
      <c r="G59" s="19">
        <v>45895</v>
      </c>
      <c r="H59" s="11" t="s">
        <v>7</v>
      </c>
    </row>
    <row r="60" spans="1:8" x14ac:dyDescent="0.25">
      <c r="A60" s="11" t="s">
        <v>14</v>
      </c>
      <c r="B60" s="11" t="s">
        <v>15</v>
      </c>
      <c r="C60" s="11" t="s">
        <v>20</v>
      </c>
      <c r="D60" s="12">
        <v>45887</v>
      </c>
      <c r="E60" s="17">
        <v>639820</v>
      </c>
      <c r="F60" s="18" t="s">
        <v>3</v>
      </c>
      <c r="G60" s="19">
        <v>45895</v>
      </c>
      <c r="H60" s="11" t="s">
        <v>7</v>
      </c>
    </row>
    <row r="61" spans="1:8" x14ac:dyDescent="0.25">
      <c r="A61" s="11" t="s">
        <v>14</v>
      </c>
      <c r="B61" s="11" t="s">
        <v>15</v>
      </c>
      <c r="C61" s="11" t="s">
        <v>20</v>
      </c>
      <c r="D61" s="12">
        <v>45889</v>
      </c>
      <c r="E61" s="17">
        <v>1152900</v>
      </c>
      <c r="F61" s="18" t="s">
        <v>3</v>
      </c>
      <c r="G61" s="19">
        <v>45895</v>
      </c>
      <c r="H61" s="11" t="s">
        <v>7</v>
      </c>
    </row>
    <row r="62" spans="1:8" x14ac:dyDescent="0.25">
      <c r="A62" s="11" t="s">
        <v>14</v>
      </c>
      <c r="B62" s="11" t="s">
        <v>15</v>
      </c>
      <c r="C62" s="11" t="s">
        <v>20</v>
      </c>
      <c r="D62" s="12">
        <v>45892</v>
      </c>
      <c r="E62" s="17">
        <v>1169900</v>
      </c>
      <c r="F62" s="18" t="s">
        <v>3</v>
      </c>
      <c r="G62" s="19">
        <v>45895</v>
      </c>
      <c r="H62" s="11" t="s">
        <v>7</v>
      </c>
    </row>
    <row r="63" spans="1:8" x14ac:dyDescent="0.25">
      <c r="A63" s="11" t="s">
        <v>14</v>
      </c>
      <c r="B63" s="11" t="s">
        <v>15</v>
      </c>
      <c r="C63" s="11" t="s">
        <v>20</v>
      </c>
      <c r="D63" s="12">
        <v>45896</v>
      </c>
      <c r="E63" s="17">
        <v>867085</v>
      </c>
      <c r="F63" s="18" t="s">
        <v>3</v>
      </c>
      <c r="G63" s="19">
        <v>45895</v>
      </c>
      <c r="H63" s="11" t="s">
        <v>7</v>
      </c>
    </row>
    <row r="64" spans="1:8" x14ac:dyDescent="0.25">
      <c r="A64" s="11" t="s">
        <v>14</v>
      </c>
      <c r="B64" s="11" t="s">
        <v>15</v>
      </c>
      <c r="C64" s="11" t="s">
        <v>20</v>
      </c>
      <c r="D64" s="12">
        <v>45897</v>
      </c>
      <c r="E64" s="17">
        <v>588470</v>
      </c>
      <c r="F64" s="18" t="s">
        <v>3</v>
      </c>
      <c r="G64" s="19">
        <v>45895</v>
      </c>
      <c r="H64" s="11" t="s">
        <v>7</v>
      </c>
    </row>
    <row r="65" spans="1:8" x14ac:dyDescent="0.25">
      <c r="A65" s="11" t="s">
        <v>14</v>
      </c>
      <c r="B65" s="11" t="s">
        <v>15</v>
      </c>
      <c r="C65" s="11" t="s">
        <v>20</v>
      </c>
      <c r="D65" s="12">
        <v>45898</v>
      </c>
      <c r="E65" s="17">
        <v>894640</v>
      </c>
      <c r="F65" s="18" t="s">
        <v>3</v>
      </c>
      <c r="G65" s="19">
        <v>45895</v>
      </c>
      <c r="H65" s="11" t="s">
        <v>7</v>
      </c>
    </row>
    <row r="66" spans="1:8" x14ac:dyDescent="0.25">
      <c r="A66" s="11" t="s">
        <v>14</v>
      </c>
      <c r="B66" s="11" t="s">
        <v>15</v>
      </c>
      <c r="C66" s="11" t="s">
        <v>20</v>
      </c>
      <c r="D66" s="12">
        <v>45899</v>
      </c>
      <c r="E66" s="17">
        <v>662900</v>
      </c>
      <c r="F66" s="18" t="s">
        <v>3</v>
      </c>
      <c r="G66" s="19">
        <v>45895</v>
      </c>
      <c r="H66" s="11" t="s">
        <v>7</v>
      </c>
    </row>
    <row r="67" spans="1:8" x14ac:dyDescent="0.25">
      <c r="A67" s="11" t="s">
        <v>14</v>
      </c>
      <c r="B67" s="11" t="s">
        <v>15</v>
      </c>
      <c r="C67" s="11" t="s">
        <v>21</v>
      </c>
      <c r="D67" s="12">
        <v>45901</v>
      </c>
      <c r="E67" s="17">
        <v>726500</v>
      </c>
      <c r="F67" s="18" t="s">
        <v>3</v>
      </c>
      <c r="G67" s="19">
        <v>45895</v>
      </c>
      <c r="H67" s="11" t="s">
        <v>7</v>
      </c>
    </row>
    <row r="68" spans="1:8" x14ac:dyDescent="0.25">
      <c r="A68" s="11" t="s">
        <v>14</v>
      </c>
      <c r="B68" s="11" t="s">
        <v>15</v>
      </c>
      <c r="C68" s="11" t="s">
        <v>21</v>
      </c>
      <c r="D68" s="12">
        <v>45903</v>
      </c>
      <c r="E68" s="17">
        <v>688300</v>
      </c>
      <c r="F68" s="18" t="s">
        <v>3</v>
      </c>
      <c r="G68" s="19">
        <v>45895</v>
      </c>
      <c r="H68" s="11" t="s">
        <v>7</v>
      </c>
    </row>
    <row r="69" spans="1:8" x14ac:dyDescent="0.25">
      <c r="A69" s="11" t="s">
        <v>14</v>
      </c>
      <c r="B69" s="11" t="s">
        <v>15</v>
      </c>
      <c r="C69" s="11" t="s">
        <v>21</v>
      </c>
      <c r="D69" s="12">
        <v>45904</v>
      </c>
      <c r="E69" s="17">
        <v>561900</v>
      </c>
      <c r="F69" s="18" t="s">
        <v>3</v>
      </c>
      <c r="G69" s="19">
        <v>45895</v>
      </c>
      <c r="H69" s="11" t="s">
        <v>7</v>
      </c>
    </row>
    <row r="70" spans="1:8" x14ac:dyDescent="0.25">
      <c r="A70" s="11" t="s">
        <v>14</v>
      </c>
      <c r="B70" s="11" t="s">
        <v>15</v>
      </c>
      <c r="C70" s="11" t="s">
        <v>21</v>
      </c>
      <c r="D70" s="12">
        <v>45905</v>
      </c>
      <c r="E70" s="17">
        <v>1045900</v>
      </c>
      <c r="F70" s="18" t="s">
        <v>3</v>
      </c>
      <c r="G70" s="19">
        <v>45895</v>
      </c>
      <c r="H70" s="11" t="s">
        <v>7</v>
      </c>
    </row>
    <row r="71" spans="1:8" x14ac:dyDescent="0.25">
      <c r="A71" s="11" t="s">
        <v>14</v>
      </c>
      <c r="B71" s="11" t="s">
        <v>15</v>
      </c>
      <c r="C71" s="11" t="s">
        <v>21</v>
      </c>
      <c r="D71" s="12">
        <v>45907</v>
      </c>
      <c r="E71" s="17">
        <v>1152876.8</v>
      </c>
      <c r="F71" s="18" t="s">
        <v>3</v>
      </c>
      <c r="G71" s="19">
        <v>45895</v>
      </c>
      <c r="H71" s="11" t="s">
        <v>7</v>
      </c>
    </row>
    <row r="72" spans="1:8" x14ac:dyDescent="0.25">
      <c r="A72" s="11" t="s">
        <v>14</v>
      </c>
      <c r="B72" s="11" t="s">
        <v>15</v>
      </c>
      <c r="C72" s="11" t="s">
        <v>21</v>
      </c>
      <c r="D72" s="12">
        <v>45908</v>
      </c>
      <c r="E72" s="17">
        <v>710700</v>
      </c>
      <c r="F72" s="18" t="s">
        <v>3</v>
      </c>
      <c r="G72" s="19">
        <v>45895</v>
      </c>
      <c r="H72" s="11" t="s">
        <v>7</v>
      </c>
    </row>
    <row r="73" spans="1:8" x14ac:dyDescent="0.25">
      <c r="A73" s="11" t="s">
        <v>14</v>
      </c>
      <c r="B73" s="11" t="s">
        <v>15</v>
      </c>
      <c r="C73" s="11" t="s">
        <v>21</v>
      </c>
      <c r="D73" s="12">
        <v>45910</v>
      </c>
      <c r="E73" s="17">
        <v>836800</v>
      </c>
      <c r="F73" s="18" t="s">
        <v>3</v>
      </c>
      <c r="G73" s="19">
        <v>45895</v>
      </c>
      <c r="H73" s="11" t="s">
        <v>7</v>
      </c>
    </row>
    <row r="74" spans="1:8" x14ac:dyDescent="0.25">
      <c r="A74" s="11" t="s">
        <v>14</v>
      </c>
      <c r="B74" s="11" t="s">
        <v>15</v>
      </c>
      <c r="C74" s="11" t="s">
        <v>21</v>
      </c>
      <c r="D74" s="12">
        <v>45912</v>
      </c>
      <c r="E74" s="17">
        <v>1124900</v>
      </c>
      <c r="F74" s="18" t="s">
        <v>3</v>
      </c>
      <c r="G74" s="19">
        <v>45895</v>
      </c>
      <c r="H74" s="11" t="s">
        <v>7</v>
      </c>
    </row>
    <row r="75" spans="1:8" x14ac:dyDescent="0.25">
      <c r="A75" s="11" t="s">
        <v>14</v>
      </c>
      <c r="B75" s="11" t="s">
        <v>15</v>
      </c>
      <c r="C75" s="11" t="s">
        <v>21</v>
      </c>
      <c r="D75" s="12">
        <v>45913</v>
      </c>
      <c r="E75" s="17">
        <v>644250</v>
      </c>
      <c r="F75" s="18" t="s">
        <v>3</v>
      </c>
      <c r="G75" s="19">
        <v>45895</v>
      </c>
      <c r="H75" s="11" t="s">
        <v>7</v>
      </c>
    </row>
    <row r="76" spans="1:8" x14ac:dyDescent="0.25">
      <c r="A76" s="11" t="s">
        <v>14</v>
      </c>
      <c r="B76" s="11" t="s">
        <v>15</v>
      </c>
      <c r="C76" s="11" t="s">
        <v>21</v>
      </c>
      <c r="D76" s="12">
        <v>45915</v>
      </c>
      <c r="E76" s="17">
        <v>1072450</v>
      </c>
      <c r="F76" s="18" t="s">
        <v>3</v>
      </c>
      <c r="G76" s="19">
        <v>45895</v>
      </c>
      <c r="H76" s="11" t="s">
        <v>7</v>
      </c>
    </row>
    <row r="77" spans="1:8" x14ac:dyDescent="0.25">
      <c r="A77" s="11" t="s">
        <v>14</v>
      </c>
      <c r="B77" s="11" t="s">
        <v>15</v>
      </c>
      <c r="C77" s="11" t="s">
        <v>21</v>
      </c>
      <c r="D77" s="12">
        <v>45919</v>
      </c>
      <c r="E77" s="17">
        <v>1587522</v>
      </c>
      <c r="F77" s="18" t="s">
        <v>3</v>
      </c>
      <c r="G77" s="19">
        <v>45895</v>
      </c>
      <c r="H77" s="11" t="s">
        <v>7</v>
      </c>
    </row>
    <row r="78" spans="1:8" x14ac:dyDescent="0.25">
      <c r="A78" s="11" t="s">
        <v>14</v>
      </c>
      <c r="B78" s="11" t="s">
        <v>15</v>
      </c>
      <c r="C78" s="11" t="s">
        <v>21</v>
      </c>
      <c r="D78" s="12">
        <v>45921</v>
      </c>
      <c r="E78" s="5">
        <v>892050</v>
      </c>
      <c r="F78" s="20" t="s">
        <v>3</v>
      </c>
      <c r="G78" s="21">
        <v>45954</v>
      </c>
      <c r="H78" s="11" t="s">
        <v>7</v>
      </c>
    </row>
    <row r="79" spans="1:8" x14ac:dyDescent="0.25">
      <c r="A79" s="11" t="s">
        <v>14</v>
      </c>
      <c r="B79" s="11" t="s">
        <v>15</v>
      </c>
      <c r="C79" s="11" t="s">
        <v>21</v>
      </c>
      <c r="D79" s="12">
        <v>45922</v>
      </c>
      <c r="E79" s="5">
        <v>699500</v>
      </c>
      <c r="F79" s="20" t="s">
        <v>3</v>
      </c>
      <c r="G79" s="21">
        <v>45954</v>
      </c>
      <c r="H79" s="11" t="s">
        <v>7</v>
      </c>
    </row>
    <row r="80" spans="1:8" x14ac:dyDescent="0.25">
      <c r="A80" s="11" t="s">
        <v>14</v>
      </c>
      <c r="B80" s="11" t="s">
        <v>15</v>
      </c>
      <c r="C80" s="11" t="s">
        <v>21</v>
      </c>
      <c r="D80" s="12">
        <v>45926</v>
      </c>
      <c r="E80" s="5">
        <v>1484600</v>
      </c>
      <c r="F80" s="20" t="s">
        <v>3</v>
      </c>
      <c r="G80" s="21">
        <v>45954</v>
      </c>
      <c r="H80" s="11" t="s">
        <v>7</v>
      </c>
    </row>
    <row r="81" spans="1:8" x14ac:dyDescent="0.25">
      <c r="A81" s="11" t="s">
        <v>14</v>
      </c>
      <c r="B81" s="11" t="s">
        <v>15</v>
      </c>
      <c r="C81" s="11" t="s">
        <v>21</v>
      </c>
      <c r="D81" s="12">
        <v>45927</v>
      </c>
      <c r="E81" s="5">
        <v>987400</v>
      </c>
      <c r="F81" s="20" t="s">
        <v>3</v>
      </c>
      <c r="G81" s="21">
        <v>45954</v>
      </c>
      <c r="H81" s="11" t="s">
        <v>7</v>
      </c>
    </row>
    <row r="82" spans="1:8" x14ac:dyDescent="0.25">
      <c r="A82" s="11" t="s">
        <v>14</v>
      </c>
      <c r="B82" s="11" t="s">
        <v>15</v>
      </c>
      <c r="C82" s="11" t="s">
        <v>21</v>
      </c>
      <c r="D82" s="12">
        <v>45929</v>
      </c>
      <c r="E82" s="5">
        <v>1218070</v>
      </c>
      <c r="F82" s="20" t="s">
        <v>3</v>
      </c>
      <c r="G82" s="21">
        <v>45954</v>
      </c>
      <c r="H82" s="11" t="s">
        <v>7</v>
      </c>
    </row>
    <row r="83" spans="1:8" x14ac:dyDescent="0.25">
      <c r="A83" s="11" t="s">
        <v>14</v>
      </c>
      <c r="B83" s="11" t="s">
        <v>15</v>
      </c>
      <c r="C83" s="11" t="s">
        <v>22</v>
      </c>
      <c r="D83" s="12">
        <v>45931</v>
      </c>
      <c r="E83" s="3">
        <v>1766452</v>
      </c>
      <c r="F83" s="22" t="s">
        <v>2</v>
      </c>
      <c r="G83" s="23">
        <v>45958</v>
      </c>
      <c r="H83" s="11" t="s">
        <v>7</v>
      </c>
    </row>
    <row r="84" spans="1:8" x14ac:dyDescent="0.25">
      <c r="A84" s="11" t="s">
        <v>14</v>
      </c>
      <c r="B84" s="11" t="s">
        <v>15</v>
      </c>
      <c r="C84" s="11" t="s">
        <v>22</v>
      </c>
      <c r="D84" s="12">
        <v>45932</v>
      </c>
      <c r="E84" s="3">
        <v>1386350</v>
      </c>
      <c r="F84" s="22" t="s">
        <v>2</v>
      </c>
      <c r="G84" s="23">
        <v>45958</v>
      </c>
      <c r="H84" s="11" t="s">
        <v>7</v>
      </c>
    </row>
    <row r="85" spans="1:8" x14ac:dyDescent="0.25">
      <c r="A85" s="11" t="s">
        <v>14</v>
      </c>
      <c r="B85" s="11" t="s">
        <v>15</v>
      </c>
      <c r="C85" s="11" t="s">
        <v>22</v>
      </c>
      <c r="D85" s="12">
        <v>45933</v>
      </c>
      <c r="E85" s="3">
        <v>801350</v>
      </c>
      <c r="F85" s="22" t="s">
        <v>2</v>
      </c>
      <c r="G85" s="23">
        <v>45958</v>
      </c>
      <c r="H85" s="11" t="s">
        <v>7</v>
      </c>
    </row>
    <row r="86" spans="1:8" x14ac:dyDescent="0.25">
      <c r="A86" s="11" t="s">
        <v>14</v>
      </c>
      <c r="B86" s="11" t="s">
        <v>15</v>
      </c>
      <c r="C86" s="11" t="s">
        <v>22</v>
      </c>
      <c r="D86" s="12">
        <v>45934</v>
      </c>
      <c r="E86" s="3">
        <v>621350</v>
      </c>
      <c r="F86" s="22" t="s">
        <v>2</v>
      </c>
      <c r="G86" s="23">
        <v>45958</v>
      </c>
      <c r="H86" s="11" t="s">
        <v>7</v>
      </c>
    </row>
    <row r="87" spans="1:8" hidden="1" x14ac:dyDescent="0.25">
      <c r="A87" s="11" t="s">
        <v>23</v>
      </c>
      <c r="B87" s="11" t="s">
        <v>24</v>
      </c>
      <c r="C87" s="11" t="s">
        <v>25</v>
      </c>
      <c r="D87" s="12">
        <v>45938</v>
      </c>
      <c r="E87" s="4">
        <v>20000</v>
      </c>
      <c r="F87" s="11" t="s">
        <v>2</v>
      </c>
      <c r="G87" s="12">
        <v>45938</v>
      </c>
      <c r="H87" s="11" t="s">
        <v>6</v>
      </c>
    </row>
    <row r="88" spans="1:8" hidden="1" x14ac:dyDescent="0.25">
      <c r="A88" s="11" t="s">
        <v>29</v>
      </c>
      <c r="B88" s="11" t="s">
        <v>15</v>
      </c>
      <c r="C88" s="11">
        <v>337143</v>
      </c>
      <c r="D88" s="12">
        <v>45940</v>
      </c>
      <c r="E88" s="4">
        <v>175438</v>
      </c>
      <c r="F88" s="11" t="s">
        <v>3</v>
      </c>
      <c r="G88" s="12">
        <v>45940</v>
      </c>
      <c r="H88" s="11" t="s">
        <v>7</v>
      </c>
    </row>
    <row r="89" spans="1:8" hidden="1" x14ac:dyDescent="0.25">
      <c r="A89" s="11" t="s">
        <v>29</v>
      </c>
      <c r="B89" s="11" t="s">
        <v>15</v>
      </c>
      <c r="C89" s="11">
        <v>337153</v>
      </c>
      <c r="D89" s="12">
        <v>45940</v>
      </c>
      <c r="E89" s="4">
        <v>485254</v>
      </c>
      <c r="F89" s="11" t="s">
        <v>3</v>
      </c>
      <c r="G89" s="12">
        <v>45940</v>
      </c>
      <c r="H89" s="11" t="s">
        <v>7</v>
      </c>
    </row>
    <row r="90" spans="1:8" hidden="1" x14ac:dyDescent="0.25">
      <c r="A90" s="11" t="s">
        <v>26</v>
      </c>
      <c r="B90" s="11">
        <v>894509</v>
      </c>
      <c r="C90" s="11" t="s">
        <v>25</v>
      </c>
      <c r="D90" s="12">
        <v>45940</v>
      </c>
      <c r="E90" s="4">
        <v>2707246</v>
      </c>
      <c r="F90" s="11" t="s">
        <v>2</v>
      </c>
      <c r="G90" s="12">
        <v>45940</v>
      </c>
      <c r="H90" s="11" t="s">
        <v>6</v>
      </c>
    </row>
    <row r="91" spans="1:8" hidden="1" x14ac:dyDescent="0.25">
      <c r="A91" s="11" t="s">
        <v>27</v>
      </c>
      <c r="B91" s="11" t="s">
        <v>28</v>
      </c>
      <c r="C91" s="11" t="s">
        <v>25</v>
      </c>
      <c r="D91" s="12">
        <v>45940</v>
      </c>
      <c r="E91" s="4">
        <v>100000</v>
      </c>
      <c r="F91" s="11" t="s">
        <v>2</v>
      </c>
      <c r="G91" s="12">
        <v>45939</v>
      </c>
      <c r="H91" s="11" t="s">
        <v>6</v>
      </c>
    </row>
    <row r="92" spans="1:8" hidden="1" x14ac:dyDescent="0.25">
      <c r="A92" s="11" t="s">
        <v>30</v>
      </c>
      <c r="B92" s="11" t="s">
        <v>31</v>
      </c>
      <c r="C92" s="11">
        <v>7714670</v>
      </c>
      <c r="D92" s="12">
        <v>45941</v>
      </c>
      <c r="E92" s="4">
        <v>2603890</v>
      </c>
      <c r="F92" s="11" t="s">
        <v>2</v>
      </c>
      <c r="G92" s="12">
        <v>45938</v>
      </c>
      <c r="H92" s="11" t="s">
        <v>6</v>
      </c>
    </row>
    <row r="93" spans="1:8" hidden="1" x14ac:dyDescent="0.25">
      <c r="A93" s="11" t="s">
        <v>32</v>
      </c>
      <c r="B93" s="11" t="s">
        <v>15</v>
      </c>
      <c r="C93" s="11">
        <v>151228</v>
      </c>
      <c r="D93" s="12">
        <v>45943</v>
      </c>
      <c r="E93" s="4">
        <f>1353802*0.9</f>
        <v>1218421.8</v>
      </c>
      <c r="F93" s="11" t="s">
        <v>3</v>
      </c>
      <c r="G93" s="12">
        <v>45943</v>
      </c>
      <c r="H93" s="11" t="s">
        <v>7</v>
      </c>
    </row>
    <row r="94" spans="1:8" hidden="1" x14ac:dyDescent="0.25">
      <c r="A94" s="11" t="s">
        <v>33</v>
      </c>
      <c r="B94" s="11" t="s">
        <v>34</v>
      </c>
      <c r="C94" s="11" t="s">
        <v>21</v>
      </c>
      <c r="D94" s="12">
        <v>45945</v>
      </c>
      <c r="E94" s="4">
        <v>150000</v>
      </c>
      <c r="F94" s="11" t="s">
        <v>3</v>
      </c>
      <c r="G94" s="12">
        <v>45943</v>
      </c>
      <c r="H94" s="11" t="s">
        <v>6</v>
      </c>
    </row>
    <row r="95" spans="1:8" hidden="1" x14ac:dyDescent="0.25">
      <c r="A95" s="11" t="s">
        <v>35</v>
      </c>
      <c r="B95" s="11" t="s">
        <v>36</v>
      </c>
      <c r="C95" s="11" t="s">
        <v>25</v>
      </c>
      <c r="D95" s="12">
        <v>45945</v>
      </c>
      <c r="E95" s="4">
        <v>119400</v>
      </c>
      <c r="F95" s="11" t="s">
        <v>3</v>
      </c>
      <c r="G95" s="12">
        <v>45954</v>
      </c>
      <c r="H95" s="11" t="s">
        <v>6</v>
      </c>
    </row>
    <row r="96" spans="1:8" hidden="1" x14ac:dyDescent="0.25">
      <c r="A96" s="11" t="s">
        <v>0</v>
      </c>
      <c r="B96" s="11" t="s">
        <v>34</v>
      </c>
      <c r="C96" s="11" t="s">
        <v>25</v>
      </c>
      <c r="D96" s="12">
        <v>45945</v>
      </c>
      <c r="E96" s="4">
        <v>899000</v>
      </c>
      <c r="F96" s="11" t="s">
        <v>3</v>
      </c>
      <c r="G96" s="12">
        <v>45945</v>
      </c>
      <c r="H96" s="11" t="s">
        <v>6</v>
      </c>
    </row>
    <row r="97" spans="1:8" hidden="1" x14ac:dyDescent="0.25">
      <c r="A97" s="11" t="s">
        <v>5</v>
      </c>
      <c r="B97" s="11" t="s">
        <v>34</v>
      </c>
      <c r="C97" s="11" t="s">
        <v>25</v>
      </c>
      <c r="D97" s="12">
        <v>45945</v>
      </c>
      <c r="E97" s="4">
        <v>899000</v>
      </c>
      <c r="F97" s="11" t="s">
        <v>3</v>
      </c>
      <c r="G97" s="12">
        <v>45945</v>
      </c>
      <c r="H97" s="11" t="s">
        <v>6</v>
      </c>
    </row>
    <row r="98" spans="1:8" hidden="1" x14ac:dyDescent="0.25">
      <c r="A98" s="11" t="s">
        <v>1</v>
      </c>
      <c r="B98" s="11" t="s">
        <v>34</v>
      </c>
      <c r="C98" s="11" t="s">
        <v>25</v>
      </c>
      <c r="D98" s="12">
        <v>45945</v>
      </c>
      <c r="E98" s="4">
        <v>899000</v>
      </c>
      <c r="F98" s="11" t="s">
        <v>3</v>
      </c>
      <c r="G98" s="12">
        <v>45945</v>
      </c>
      <c r="H98" s="11" t="s">
        <v>6</v>
      </c>
    </row>
    <row r="99" spans="1:8" hidden="1" x14ac:dyDescent="0.25">
      <c r="A99" s="11" t="s">
        <v>37</v>
      </c>
      <c r="B99" s="11" t="s">
        <v>34</v>
      </c>
      <c r="C99" s="11" t="s">
        <v>25</v>
      </c>
      <c r="D99" s="12">
        <v>45945</v>
      </c>
      <c r="E99" s="4">
        <v>150000</v>
      </c>
      <c r="F99" s="11" t="s">
        <v>3</v>
      </c>
      <c r="G99" s="12">
        <v>45945</v>
      </c>
      <c r="H99" s="11" t="s">
        <v>6</v>
      </c>
    </row>
    <row r="100" spans="1:8" hidden="1" x14ac:dyDescent="0.25">
      <c r="A100" s="11" t="s">
        <v>33</v>
      </c>
      <c r="B100" s="11" t="s">
        <v>34</v>
      </c>
      <c r="C100" s="11" t="s">
        <v>25</v>
      </c>
      <c r="D100" s="12">
        <v>45945</v>
      </c>
      <c r="E100" s="4">
        <v>150000</v>
      </c>
      <c r="F100" s="11" t="s">
        <v>3</v>
      </c>
      <c r="G100" s="32">
        <v>45945</v>
      </c>
      <c r="H100" s="11" t="s">
        <v>6</v>
      </c>
    </row>
    <row r="101" spans="1:8" hidden="1" x14ac:dyDescent="0.25">
      <c r="A101" s="11" t="s">
        <v>1</v>
      </c>
      <c r="B101" s="11" t="s">
        <v>38</v>
      </c>
      <c r="C101" s="11" t="s">
        <v>25</v>
      </c>
      <c r="D101" s="12">
        <v>45945</v>
      </c>
      <c r="E101" s="4">
        <v>50000</v>
      </c>
      <c r="F101" s="11" t="s">
        <v>3</v>
      </c>
      <c r="G101" s="12">
        <v>45945</v>
      </c>
      <c r="H101" s="11" t="s">
        <v>7</v>
      </c>
    </row>
    <row r="102" spans="1:8" hidden="1" x14ac:dyDescent="0.25">
      <c r="A102" s="11" t="s">
        <v>37</v>
      </c>
      <c r="B102" s="11" t="s">
        <v>38</v>
      </c>
      <c r="C102" s="11" t="s">
        <v>25</v>
      </c>
      <c r="D102" s="12">
        <v>45945</v>
      </c>
      <c r="E102" s="4">
        <v>50000</v>
      </c>
      <c r="F102" s="11" t="s">
        <v>3</v>
      </c>
      <c r="G102" s="12">
        <v>45945</v>
      </c>
      <c r="H102" s="11" t="s">
        <v>7</v>
      </c>
    </row>
    <row r="103" spans="1:8" hidden="1" x14ac:dyDescent="0.25">
      <c r="A103" s="11" t="s">
        <v>29</v>
      </c>
      <c r="B103" s="11" t="s">
        <v>15</v>
      </c>
      <c r="C103" s="11">
        <v>340292</v>
      </c>
      <c r="D103" s="12">
        <v>45949</v>
      </c>
      <c r="E103" s="4">
        <v>216611</v>
      </c>
      <c r="F103" s="11" t="s">
        <v>3</v>
      </c>
      <c r="G103" s="12">
        <v>45949</v>
      </c>
      <c r="H103" s="11" t="s">
        <v>7</v>
      </c>
    </row>
    <row r="104" spans="1:8" hidden="1" x14ac:dyDescent="0.25">
      <c r="A104" s="11" t="s">
        <v>29</v>
      </c>
      <c r="B104" s="11" t="s">
        <v>15</v>
      </c>
      <c r="C104" s="11">
        <v>340295</v>
      </c>
      <c r="D104" s="12">
        <v>45949</v>
      </c>
      <c r="E104" s="4">
        <f>466208*0.88</f>
        <v>410263.03999999998</v>
      </c>
      <c r="F104" s="11" t="s">
        <v>3</v>
      </c>
      <c r="G104" s="12">
        <v>45949</v>
      </c>
      <c r="H104" s="11" t="s">
        <v>7</v>
      </c>
    </row>
    <row r="105" spans="1:8" hidden="1" x14ac:dyDescent="0.25">
      <c r="A105" s="11" t="s">
        <v>29</v>
      </c>
      <c r="B105" s="11" t="s">
        <v>15</v>
      </c>
      <c r="C105" s="11">
        <v>340298</v>
      </c>
      <c r="D105" s="12">
        <v>45949</v>
      </c>
      <c r="E105" s="4">
        <v>49106</v>
      </c>
      <c r="F105" s="11" t="s">
        <v>3</v>
      </c>
      <c r="G105" s="12">
        <v>45949</v>
      </c>
      <c r="H105" s="11" t="s">
        <v>7</v>
      </c>
    </row>
    <row r="106" spans="1:8" hidden="1" x14ac:dyDescent="0.25">
      <c r="A106" s="11" t="s">
        <v>29</v>
      </c>
      <c r="B106" s="11" t="s">
        <v>15</v>
      </c>
      <c r="C106" s="11">
        <v>342029</v>
      </c>
      <c r="D106" s="12">
        <v>45954</v>
      </c>
      <c r="E106" s="4">
        <f>334333*0.88</f>
        <v>294213.03999999998</v>
      </c>
      <c r="F106" s="11" t="s">
        <v>3</v>
      </c>
      <c r="G106" s="12">
        <v>45954</v>
      </c>
      <c r="H106" s="11" t="s">
        <v>7</v>
      </c>
    </row>
    <row r="107" spans="1:8" hidden="1" x14ac:dyDescent="0.25">
      <c r="A107" s="11" t="s">
        <v>29</v>
      </c>
      <c r="B107" s="11" t="s">
        <v>15</v>
      </c>
      <c r="C107" s="11">
        <v>342039</v>
      </c>
      <c r="D107" s="12">
        <v>45954</v>
      </c>
      <c r="E107" s="4">
        <v>30102</v>
      </c>
      <c r="F107" s="11" t="s">
        <v>3</v>
      </c>
      <c r="G107" s="12">
        <v>45954</v>
      </c>
      <c r="H107" s="11" t="s">
        <v>7</v>
      </c>
    </row>
    <row r="108" spans="1:8" hidden="1" x14ac:dyDescent="0.25">
      <c r="A108" s="11" t="s">
        <v>29</v>
      </c>
      <c r="B108" s="11" t="s">
        <v>15</v>
      </c>
      <c r="C108" s="11">
        <v>342042</v>
      </c>
      <c r="D108" s="12">
        <v>45954</v>
      </c>
      <c r="E108" s="4">
        <v>524559</v>
      </c>
      <c r="F108" s="11" t="s">
        <v>3</v>
      </c>
      <c r="G108" s="12">
        <v>45954</v>
      </c>
      <c r="H108" s="11" t="s">
        <v>7</v>
      </c>
    </row>
    <row r="109" spans="1:8" hidden="1" x14ac:dyDescent="0.25">
      <c r="A109" s="11" t="s">
        <v>29</v>
      </c>
      <c r="B109" s="11" t="s">
        <v>15</v>
      </c>
      <c r="C109" s="11">
        <v>343151</v>
      </c>
      <c r="D109" s="12">
        <v>45959</v>
      </c>
      <c r="E109" s="4">
        <v>593930</v>
      </c>
      <c r="F109" s="11" t="s">
        <v>3</v>
      </c>
      <c r="G109" s="12">
        <v>45960</v>
      </c>
      <c r="H109" s="11" t="s">
        <v>7</v>
      </c>
    </row>
    <row r="110" spans="1:8" hidden="1" x14ac:dyDescent="0.25">
      <c r="A110" s="11" t="s">
        <v>29</v>
      </c>
      <c r="B110" s="11" t="s">
        <v>15</v>
      </c>
      <c r="C110" s="11">
        <v>343154</v>
      </c>
      <c r="D110" s="12">
        <v>45959</v>
      </c>
      <c r="E110" s="4">
        <v>303355</v>
      </c>
      <c r="F110" s="11" t="s">
        <v>3</v>
      </c>
      <c r="G110" s="12">
        <v>45960</v>
      </c>
      <c r="H110" s="11" t="s">
        <v>7</v>
      </c>
    </row>
    <row r="111" spans="1:8" hidden="1" x14ac:dyDescent="0.25">
      <c r="A111" s="11" t="s">
        <v>29</v>
      </c>
      <c r="B111" s="11" t="s">
        <v>15</v>
      </c>
      <c r="C111" s="11">
        <v>343169</v>
      </c>
      <c r="D111" s="12">
        <v>45959</v>
      </c>
      <c r="E111" s="4">
        <f>398474*0.88+75709</f>
        <v>426366.12</v>
      </c>
      <c r="F111" s="11" t="s">
        <v>3</v>
      </c>
      <c r="G111" s="12">
        <v>45960</v>
      </c>
      <c r="H111" s="11" t="s">
        <v>7</v>
      </c>
    </row>
    <row r="112" spans="1:8" hidden="1" x14ac:dyDescent="0.25">
      <c r="A112" s="11" t="s">
        <v>39</v>
      </c>
      <c r="B112" s="11" t="s">
        <v>15</v>
      </c>
      <c r="C112" s="11">
        <v>419931</v>
      </c>
      <c r="D112" s="12">
        <v>45960</v>
      </c>
      <c r="E112" s="4">
        <v>786200</v>
      </c>
      <c r="F112" s="11" t="s">
        <v>3</v>
      </c>
      <c r="G112" s="12">
        <v>45960</v>
      </c>
      <c r="H112" s="11" t="s">
        <v>7</v>
      </c>
    </row>
    <row r="113" spans="1:8" hidden="1" x14ac:dyDescent="0.25">
      <c r="A113" s="11" t="s">
        <v>0</v>
      </c>
      <c r="B113" s="11" t="s">
        <v>34</v>
      </c>
      <c r="C113" s="11" t="s">
        <v>25</v>
      </c>
      <c r="D113" s="12">
        <v>45960</v>
      </c>
      <c r="E113" s="4">
        <v>765000</v>
      </c>
      <c r="F113" s="11" t="s">
        <v>2</v>
      </c>
      <c r="G113" s="12">
        <v>45960</v>
      </c>
      <c r="H113" s="11" t="s">
        <v>6</v>
      </c>
    </row>
    <row r="114" spans="1:8" hidden="1" x14ac:dyDescent="0.25">
      <c r="A114" s="11" t="s">
        <v>5</v>
      </c>
      <c r="B114" s="11" t="s">
        <v>34</v>
      </c>
      <c r="C114" s="11" t="s">
        <v>25</v>
      </c>
      <c r="D114" s="12">
        <v>45960</v>
      </c>
      <c r="E114" s="4">
        <v>822000</v>
      </c>
      <c r="F114" s="11" t="s">
        <v>2</v>
      </c>
      <c r="G114" s="12">
        <v>45960</v>
      </c>
      <c r="H114" s="11" t="s">
        <v>6</v>
      </c>
    </row>
    <row r="115" spans="1:8" hidden="1" x14ac:dyDescent="0.25">
      <c r="A115" s="11" t="s">
        <v>1</v>
      </c>
      <c r="B115" s="11" t="s">
        <v>34</v>
      </c>
      <c r="C115" s="11" t="s">
        <v>25</v>
      </c>
      <c r="D115" s="12">
        <v>45960</v>
      </c>
      <c r="E115" s="4">
        <v>765000</v>
      </c>
      <c r="F115" s="11" t="s">
        <v>2</v>
      </c>
      <c r="G115" s="12">
        <v>45960</v>
      </c>
      <c r="H115" s="11" t="s">
        <v>6</v>
      </c>
    </row>
    <row r="116" spans="1:8" hidden="1" x14ac:dyDescent="0.25">
      <c r="A116" s="11" t="s">
        <v>37</v>
      </c>
      <c r="B116" s="11" t="s">
        <v>34</v>
      </c>
      <c r="C116" s="11" t="s">
        <v>25</v>
      </c>
      <c r="D116" s="12">
        <v>45960</v>
      </c>
      <c r="E116" s="4">
        <v>150000</v>
      </c>
      <c r="F116" s="11" t="s">
        <v>2</v>
      </c>
      <c r="G116" s="12">
        <v>45960</v>
      </c>
      <c r="H116" s="11" t="s">
        <v>6</v>
      </c>
    </row>
    <row r="117" spans="1:8" hidden="1" x14ac:dyDescent="0.25">
      <c r="A117" s="11" t="s">
        <v>33</v>
      </c>
      <c r="B117" s="11" t="s">
        <v>34</v>
      </c>
      <c r="C117" s="11" t="s">
        <v>25</v>
      </c>
      <c r="D117" s="12">
        <v>45960</v>
      </c>
      <c r="E117" s="4">
        <v>150000</v>
      </c>
      <c r="F117" s="11" t="s">
        <v>3</v>
      </c>
      <c r="G117" s="12">
        <v>45960</v>
      </c>
      <c r="H117" s="11" t="s">
        <v>6</v>
      </c>
    </row>
    <row r="118" spans="1:8" hidden="1" x14ac:dyDescent="0.25">
      <c r="A118" s="11" t="s">
        <v>32</v>
      </c>
      <c r="B118" s="11" t="s">
        <v>15</v>
      </c>
      <c r="C118" s="11">
        <v>153071</v>
      </c>
      <c r="D118" s="12">
        <v>45964</v>
      </c>
      <c r="E118" s="4">
        <f>232190*0.9</f>
        <v>208971</v>
      </c>
      <c r="F118" s="11" t="s">
        <v>2</v>
      </c>
      <c r="G118" s="12">
        <v>45966</v>
      </c>
      <c r="H118" s="11" t="s">
        <v>7</v>
      </c>
    </row>
    <row r="119" spans="1:8" hidden="1" x14ac:dyDescent="0.25">
      <c r="A119" s="11" t="s">
        <v>29</v>
      </c>
      <c r="B119" s="11" t="s">
        <v>15</v>
      </c>
      <c r="C119" s="11">
        <v>346176</v>
      </c>
      <c r="D119" s="12">
        <v>45967</v>
      </c>
      <c r="E119" s="4">
        <f>288817*0.88</f>
        <v>254158.96</v>
      </c>
      <c r="F119" s="11" t="s">
        <v>3</v>
      </c>
      <c r="G119" s="12">
        <v>45972</v>
      </c>
      <c r="H119" s="11" t="s">
        <v>7</v>
      </c>
    </row>
    <row r="120" spans="1:8" hidden="1" x14ac:dyDescent="0.25">
      <c r="A120" s="11" t="s">
        <v>29</v>
      </c>
      <c r="B120" s="11" t="s">
        <v>15</v>
      </c>
      <c r="C120" s="11">
        <v>346181</v>
      </c>
      <c r="D120" s="12">
        <v>45967</v>
      </c>
      <c r="E120" s="4">
        <v>200232</v>
      </c>
      <c r="F120" s="11" t="s">
        <v>3</v>
      </c>
      <c r="G120" s="12">
        <v>45972</v>
      </c>
      <c r="H120" s="11" t="s">
        <v>7</v>
      </c>
    </row>
    <row r="121" spans="1:8" hidden="1" x14ac:dyDescent="0.25">
      <c r="A121" s="11" t="s">
        <v>29</v>
      </c>
      <c r="B121" s="11" t="s">
        <v>15</v>
      </c>
      <c r="C121" s="11">
        <v>346202</v>
      </c>
      <c r="D121" s="12">
        <v>45967</v>
      </c>
      <c r="E121" s="4">
        <v>418618</v>
      </c>
      <c r="F121" s="11" t="s">
        <v>3</v>
      </c>
      <c r="G121" s="12">
        <v>45972</v>
      </c>
      <c r="H121" s="11" t="s">
        <v>7</v>
      </c>
    </row>
    <row r="122" spans="1:8" hidden="1" x14ac:dyDescent="0.25">
      <c r="A122" s="11" t="s">
        <v>29</v>
      </c>
      <c r="B122" s="11" t="s">
        <v>15</v>
      </c>
      <c r="C122" s="11">
        <v>346927</v>
      </c>
      <c r="D122" s="12">
        <v>45968</v>
      </c>
      <c r="E122" s="4">
        <f>263101*0.88</f>
        <v>231528.88</v>
      </c>
      <c r="F122" s="11" t="s">
        <v>3</v>
      </c>
      <c r="G122" s="12">
        <v>45972</v>
      </c>
      <c r="H122" s="11" t="s">
        <v>7</v>
      </c>
    </row>
    <row r="123" spans="1:8" hidden="1" x14ac:dyDescent="0.25">
      <c r="A123" s="11" t="s">
        <v>29</v>
      </c>
      <c r="B123" s="11" t="s">
        <v>15</v>
      </c>
      <c r="C123" s="11">
        <v>346937</v>
      </c>
      <c r="D123" s="12">
        <v>45968</v>
      </c>
      <c r="E123" s="4">
        <v>205237</v>
      </c>
      <c r="F123" s="11" t="s">
        <v>3</v>
      </c>
      <c r="G123" s="12">
        <v>45972</v>
      </c>
      <c r="H123" s="11" t="s">
        <v>7</v>
      </c>
    </row>
    <row r="124" spans="1:8" hidden="1" x14ac:dyDescent="0.25">
      <c r="A124" s="11" t="s">
        <v>29</v>
      </c>
      <c r="B124" s="11" t="s">
        <v>15</v>
      </c>
      <c r="C124" s="11">
        <v>346945</v>
      </c>
      <c r="D124" s="12">
        <v>45968</v>
      </c>
      <c r="E124" s="4">
        <f>438894*0.88</f>
        <v>386226.72000000003</v>
      </c>
      <c r="F124" s="11" t="s">
        <v>3</v>
      </c>
      <c r="G124" s="12">
        <v>45972</v>
      </c>
      <c r="H124" s="11" t="s">
        <v>7</v>
      </c>
    </row>
    <row r="125" spans="1:8" hidden="1" x14ac:dyDescent="0.25">
      <c r="A125" s="11" t="s">
        <v>39</v>
      </c>
      <c r="B125" s="11" t="s">
        <v>15</v>
      </c>
      <c r="C125" s="11">
        <v>421529</v>
      </c>
      <c r="D125" s="12">
        <v>45968</v>
      </c>
      <c r="E125" s="4">
        <v>1359673</v>
      </c>
      <c r="F125" s="11" t="s">
        <v>3</v>
      </c>
      <c r="G125" s="12">
        <v>45972</v>
      </c>
      <c r="H125" s="11" t="s">
        <v>7</v>
      </c>
    </row>
    <row r="126" spans="1:8" hidden="1" x14ac:dyDescent="0.25">
      <c r="A126" s="11" t="s">
        <v>27</v>
      </c>
      <c r="B126" s="11" t="s">
        <v>28</v>
      </c>
      <c r="C126" s="11" t="s">
        <v>42</v>
      </c>
      <c r="D126" s="12">
        <v>45971</v>
      </c>
      <c r="E126" s="4">
        <v>100000</v>
      </c>
      <c r="F126" s="11" t="s">
        <v>2</v>
      </c>
      <c r="G126" s="12">
        <v>45970</v>
      </c>
      <c r="H126" s="11" t="s">
        <v>6</v>
      </c>
    </row>
    <row r="127" spans="1:8" hidden="1" x14ac:dyDescent="0.25">
      <c r="A127" s="11" t="s">
        <v>32</v>
      </c>
      <c r="B127" s="11" t="s">
        <v>15</v>
      </c>
      <c r="C127" s="11">
        <v>153870</v>
      </c>
      <c r="D127" s="12">
        <v>45974</v>
      </c>
      <c r="E127" s="4">
        <f>(2009956-84120)*0.9</f>
        <v>1733252.4000000001</v>
      </c>
      <c r="F127" s="11" t="s">
        <v>3</v>
      </c>
      <c r="G127" s="12">
        <v>45974</v>
      </c>
      <c r="H127" s="11" t="s">
        <v>7</v>
      </c>
    </row>
    <row r="128" spans="1:8" hidden="1" x14ac:dyDescent="0.25">
      <c r="A128" s="11" t="s">
        <v>32</v>
      </c>
      <c r="B128" s="11" t="s">
        <v>15</v>
      </c>
      <c r="C128" s="11">
        <v>153872</v>
      </c>
      <c r="D128" s="12">
        <v>45974</v>
      </c>
      <c r="E128" s="4">
        <f>(2324406-24383)*0.9</f>
        <v>2070020.7</v>
      </c>
      <c r="F128" s="11" t="s">
        <v>3</v>
      </c>
      <c r="G128" s="12">
        <v>45974</v>
      </c>
      <c r="H128" s="11" t="s">
        <v>7</v>
      </c>
    </row>
    <row r="129" spans="1:8" hidden="1" x14ac:dyDescent="0.25">
      <c r="A129" s="11" t="s">
        <v>30</v>
      </c>
      <c r="B129" s="11" t="s">
        <v>31</v>
      </c>
      <c r="C129" s="11">
        <v>7714670</v>
      </c>
      <c r="D129" s="12">
        <v>45975</v>
      </c>
      <c r="E129" s="4">
        <v>2312880</v>
      </c>
      <c r="F129" s="11" t="s">
        <v>2</v>
      </c>
      <c r="G129" s="12">
        <v>45975</v>
      </c>
      <c r="H129" s="11" t="s">
        <v>6</v>
      </c>
    </row>
    <row r="130" spans="1:8" hidden="1" x14ac:dyDescent="0.25">
      <c r="A130" s="11" t="s">
        <v>26</v>
      </c>
      <c r="B130" s="11">
        <v>894509</v>
      </c>
      <c r="C130" s="11" t="s">
        <v>42</v>
      </c>
      <c r="D130" s="12">
        <v>45975</v>
      </c>
      <c r="E130" s="4">
        <v>370000</v>
      </c>
      <c r="F130" s="11" t="s">
        <v>2</v>
      </c>
      <c r="G130" s="12">
        <v>45975</v>
      </c>
      <c r="H130" s="11" t="s">
        <v>6</v>
      </c>
    </row>
    <row r="131" spans="1:8" hidden="1" x14ac:dyDescent="0.25">
      <c r="A131" s="11" t="s">
        <v>35</v>
      </c>
      <c r="B131" s="11" t="s">
        <v>36</v>
      </c>
      <c r="C131" s="11" t="s">
        <v>42</v>
      </c>
      <c r="D131" s="12">
        <v>45976</v>
      </c>
      <c r="E131" s="4">
        <v>119400</v>
      </c>
      <c r="F131" s="11" t="s">
        <v>2</v>
      </c>
      <c r="G131" s="12">
        <v>46001</v>
      </c>
      <c r="H131" s="11" t="s">
        <v>6</v>
      </c>
    </row>
    <row r="132" spans="1:8" hidden="1" x14ac:dyDescent="0.25">
      <c r="A132" s="11" t="s">
        <v>0</v>
      </c>
      <c r="B132" s="11" t="s">
        <v>34</v>
      </c>
      <c r="C132" s="11" t="s">
        <v>42</v>
      </c>
      <c r="D132" s="12">
        <v>45976</v>
      </c>
      <c r="E132" s="4">
        <v>1030906</v>
      </c>
      <c r="F132" s="11" t="s">
        <v>2</v>
      </c>
      <c r="G132" s="12">
        <v>45976</v>
      </c>
      <c r="H132" s="11" t="s">
        <v>6</v>
      </c>
    </row>
    <row r="133" spans="1:8" hidden="1" x14ac:dyDescent="0.25">
      <c r="A133" s="11" t="s">
        <v>1</v>
      </c>
      <c r="B133" s="11" t="s">
        <v>34</v>
      </c>
      <c r="C133" s="11" t="s">
        <v>42</v>
      </c>
      <c r="D133" s="12">
        <v>45976</v>
      </c>
      <c r="E133" s="4">
        <v>1030906</v>
      </c>
      <c r="F133" s="11" t="s">
        <v>2</v>
      </c>
      <c r="G133" s="12">
        <v>45976</v>
      </c>
      <c r="H133" s="11" t="s">
        <v>6</v>
      </c>
    </row>
    <row r="134" spans="1:8" hidden="1" x14ac:dyDescent="0.25">
      <c r="A134" s="11" t="s">
        <v>37</v>
      </c>
      <c r="B134" s="11" t="s">
        <v>34</v>
      </c>
      <c r="C134" s="11" t="s">
        <v>42</v>
      </c>
      <c r="D134" s="12">
        <v>45976</v>
      </c>
      <c r="E134" s="4">
        <v>210000</v>
      </c>
      <c r="F134" s="11" t="s">
        <v>3</v>
      </c>
      <c r="G134" s="12">
        <v>45976</v>
      </c>
      <c r="H134" s="11" t="s">
        <v>6</v>
      </c>
    </row>
    <row r="135" spans="1:8" hidden="1" x14ac:dyDescent="0.25">
      <c r="A135" s="11" t="s">
        <v>33</v>
      </c>
      <c r="B135" s="11" t="s">
        <v>34</v>
      </c>
      <c r="C135" s="11" t="s">
        <v>42</v>
      </c>
      <c r="D135" s="12">
        <v>45976</v>
      </c>
      <c r="E135" s="4">
        <v>270000</v>
      </c>
      <c r="F135" s="11" t="s">
        <v>3</v>
      </c>
      <c r="G135" s="12">
        <v>45976</v>
      </c>
      <c r="H135" s="11" t="s">
        <v>6</v>
      </c>
    </row>
    <row r="136" spans="1:8" hidden="1" x14ac:dyDescent="0.25">
      <c r="A136" s="11" t="s">
        <v>29</v>
      </c>
      <c r="B136" s="11" t="s">
        <v>15</v>
      </c>
      <c r="C136" s="11">
        <v>349575</v>
      </c>
      <c r="D136" s="12">
        <v>45977</v>
      </c>
      <c r="E136" s="4">
        <v>55271</v>
      </c>
      <c r="F136" s="11" t="s">
        <v>2</v>
      </c>
      <c r="G136" s="12">
        <v>45982</v>
      </c>
      <c r="H136" s="11" t="s">
        <v>7</v>
      </c>
    </row>
    <row r="137" spans="1:8" hidden="1" x14ac:dyDescent="0.25">
      <c r="A137" s="11" t="s">
        <v>29</v>
      </c>
      <c r="B137" s="11" t="s">
        <v>15</v>
      </c>
      <c r="C137" s="11">
        <v>349589</v>
      </c>
      <c r="D137" s="12">
        <v>45977</v>
      </c>
      <c r="E137" s="4">
        <f>((148683+87486)*0.88)+16624</f>
        <v>224452.72</v>
      </c>
      <c r="F137" s="11" t="s">
        <v>2</v>
      </c>
      <c r="G137" s="12">
        <v>45982</v>
      </c>
      <c r="H137" s="11" t="s">
        <v>7</v>
      </c>
    </row>
    <row r="138" spans="1:8" hidden="1" x14ac:dyDescent="0.25">
      <c r="A138" s="11" t="s">
        <v>29</v>
      </c>
      <c r="B138" s="11" t="s">
        <v>15</v>
      </c>
      <c r="C138" s="11">
        <v>349610</v>
      </c>
      <c r="D138" s="12">
        <v>45977</v>
      </c>
      <c r="E138" s="4">
        <v>196916</v>
      </c>
      <c r="F138" s="11" t="s">
        <v>2</v>
      </c>
      <c r="G138" s="12">
        <v>45982</v>
      </c>
      <c r="H138" s="11" t="s">
        <v>7</v>
      </c>
    </row>
    <row r="139" spans="1:8" x14ac:dyDescent="0.25">
      <c r="A139" s="11" t="s">
        <v>14</v>
      </c>
      <c r="B139" s="11" t="s">
        <v>15</v>
      </c>
      <c r="C139" s="11" t="s">
        <v>43</v>
      </c>
      <c r="D139" s="12">
        <v>45980</v>
      </c>
      <c r="E139" s="4">
        <v>241139</v>
      </c>
      <c r="F139" s="29" t="s">
        <v>2</v>
      </c>
      <c r="G139" s="12">
        <v>46030</v>
      </c>
      <c r="H139" s="11" t="s">
        <v>7</v>
      </c>
    </row>
    <row r="140" spans="1:8" x14ac:dyDescent="0.25">
      <c r="A140" s="11" t="s">
        <v>14</v>
      </c>
      <c r="B140" s="11" t="s">
        <v>15</v>
      </c>
      <c r="C140" s="11" t="s">
        <v>44</v>
      </c>
      <c r="D140" s="12">
        <v>45981</v>
      </c>
      <c r="E140" s="4">
        <v>732700</v>
      </c>
      <c r="F140" s="29" t="s">
        <v>2</v>
      </c>
      <c r="G140" s="12">
        <v>46030</v>
      </c>
      <c r="H140" s="11" t="s">
        <v>7</v>
      </c>
    </row>
    <row r="141" spans="1:8" x14ac:dyDescent="0.25">
      <c r="A141" s="11" t="s">
        <v>14</v>
      </c>
      <c r="B141" s="11" t="s">
        <v>15</v>
      </c>
      <c r="C141" s="11" t="s">
        <v>45</v>
      </c>
      <c r="D141" s="12">
        <v>45981</v>
      </c>
      <c r="E141" s="4">
        <v>34600</v>
      </c>
      <c r="F141" s="29" t="s">
        <v>2</v>
      </c>
      <c r="G141" s="12">
        <v>46030</v>
      </c>
      <c r="H141" s="11" t="s">
        <v>7</v>
      </c>
    </row>
    <row r="142" spans="1:8" x14ac:dyDescent="0.25">
      <c r="A142" s="11" t="s">
        <v>14</v>
      </c>
      <c r="B142" s="11" t="s">
        <v>15</v>
      </c>
      <c r="C142" s="26" t="s">
        <v>46</v>
      </c>
      <c r="D142" s="12">
        <v>45982</v>
      </c>
      <c r="E142" s="4">
        <v>720500</v>
      </c>
      <c r="F142" s="30" t="s">
        <v>3</v>
      </c>
      <c r="G142" s="12">
        <v>46030</v>
      </c>
      <c r="H142" s="11" t="s">
        <v>7</v>
      </c>
    </row>
    <row r="143" spans="1:8" hidden="1" x14ac:dyDescent="0.25">
      <c r="A143" s="11" t="s">
        <v>32</v>
      </c>
      <c r="B143" s="11" t="s">
        <v>15</v>
      </c>
      <c r="C143" s="11">
        <v>1353</v>
      </c>
      <c r="D143" s="12">
        <v>45988</v>
      </c>
      <c r="E143" s="4">
        <f>(564290*0.9)+17250</f>
        <v>525111</v>
      </c>
      <c r="F143" s="11" t="s">
        <v>2</v>
      </c>
      <c r="G143" s="12">
        <v>46049</v>
      </c>
      <c r="H143" s="11" t="s">
        <v>7</v>
      </c>
    </row>
    <row r="144" spans="1:8" x14ac:dyDescent="0.25">
      <c r="A144" s="11" t="s">
        <v>14</v>
      </c>
      <c r="B144" s="11" t="s">
        <v>15</v>
      </c>
      <c r="C144" s="26" t="s">
        <v>47</v>
      </c>
      <c r="D144" s="12">
        <v>45989</v>
      </c>
      <c r="E144" s="4">
        <v>1230166</v>
      </c>
      <c r="F144" s="30" t="s">
        <v>3</v>
      </c>
      <c r="G144" s="12">
        <v>46030</v>
      </c>
      <c r="H144" s="11" t="s">
        <v>7</v>
      </c>
    </row>
    <row r="145" spans="1:9" hidden="1" x14ac:dyDescent="0.25">
      <c r="A145" s="11" t="s">
        <v>29</v>
      </c>
      <c r="B145" s="11" t="s">
        <v>15</v>
      </c>
      <c r="C145" s="11">
        <v>354152</v>
      </c>
      <c r="D145" s="12">
        <v>45991</v>
      </c>
      <c r="E145" s="4">
        <v>195267</v>
      </c>
      <c r="F145" s="11" t="s">
        <v>2</v>
      </c>
      <c r="G145" s="12">
        <v>45996</v>
      </c>
      <c r="H145" s="11" t="s">
        <v>7</v>
      </c>
    </row>
    <row r="146" spans="1:9" x14ac:dyDescent="0.25">
      <c r="A146" s="11" t="s">
        <v>14</v>
      </c>
      <c r="B146" s="11" t="s">
        <v>15</v>
      </c>
      <c r="C146" s="26" t="s">
        <v>48</v>
      </c>
      <c r="D146" s="12">
        <v>45991</v>
      </c>
      <c r="E146" s="4">
        <v>1127700</v>
      </c>
      <c r="F146" s="30" t="s">
        <v>3</v>
      </c>
      <c r="G146" s="12">
        <v>46035</v>
      </c>
      <c r="H146" s="11" t="s">
        <v>7</v>
      </c>
    </row>
    <row r="147" spans="1:9" hidden="1" x14ac:dyDescent="0.25">
      <c r="A147" s="11" t="s">
        <v>0</v>
      </c>
      <c r="B147" s="11" t="s">
        <v>34</v>
      </c>
      <c r="C147" s="11" t="s">
        <v>42</v>
      </c>
      <c r="D147" s="12">
        <v>45991</v>
      </c>
      <c r="E147" s="4">
        <v>1030906</v>
      </c>
      <c r="F147" s="11" t="s">
        <v>3</v>
      </c>
      <c r="G147" s="12">
        <v>45992</v>
      </c>
      <c r="H147" s="11" t="s">
        <v>6</v>
      </c>
    </row>
    <row r="148" spans="1:9" hidden="1" x14ac:dyDescent="0.25">
      <c r="A148" s="11" t="s">
        <v>1</v>
      </c>
      <c r="B148" s="11" t="s">
        <v>34</v>
      </c>
      <c r="C148" s="11" t="s">
        <v>42</v>
      </c>
      <c r="D148" s="12">
        <v>45991</v>
      </c>
      <c r="E148" s="4">
        <v>1030906</v>
      </c>
      <c r="F148" s="11" t="s">
        <v>3</v>
      </c>
      <c r="G148" s="12">
        <v>45992</v>
      </c>
      <c r="H148" s="11" t="s">
        <v>6</v>
      </c>
    </row>
    <row r="149" spans="1:9" hidden="1" x14ac:dyDescent="0.25">
      <c r="A149" s="11" t="s">
        <v>37</v>
      </c>
      <c r="B149" s="11" t="s">
        <v>34</v>
      </c>
      <c r="C149" s="11" t="s">
        <v>42</v>
      </c>
      <c r="D149" s="12">
        <v>45991</v>
      </c>
      <c r="E149" s="4">
        <v>210000</v>
      </c>
      <c r="F149" s="11" t="s">
        <v>3</v>
      </c>
      <c r="G149" s="12">
        <v>45992</v>
      </c>
      <c r="H149" s="11" t="s">
        <v>6</v>
      </c>
    </row>
    <row r="150" spans="1:9" hidden="1" x14ac:dyDescent="0.25">
      <c r="A150" s="11" t="s">
        <v>33</v>
      </c>
      <c r="B150" s="11" t="s">
        <v>34</v>
      </c>
      <c r="C150" s="11" t="s">
        <v>42</v>
      </c>
      <c r="D150" s="12">
        <v>45991</v>
      </c>
      <c r="E150" s="4">
        <v>270000</v>
      </c>
      <c r="F150" s="11" t="s">
        <v>3</v>
      </c>
      <c r="G150" s="12">
        <v>45992</v>
      </c>
      <c r="H150" s="11" t="s">
        <v>6</v>
      </c>
    </row>
    <row r="151" spans="1:9" hidden="1" x14ac:dyDescent="0.25">
      <c r="A151" s="11" t="s">
        <v>29</v>
      </c>
      <c r="B151" s="11" t="s">
        <v>15</v>
      </c>
      <c r="C151" s="11">
        <v>355092</v>
      </c>
      <c r="D151" s="12">
        <v>45995</v>
      </c>
      <c r="E151" s="4">
        <f>((109722+209704)*0.88)+39844</f>
        <v>320938.88</v>
      </c>
      <c r="F151" s="11" t="s">
        <v>3</v>
      </c>
      <c r="G151" s="12">
        <v>45996</v>
      </c>
      <c r="H151" s="11" t="s">
        <v>7</v>
      </c>
    </row>
    <row r="152" spans="1:9" hidden="1" x14ac:dyDescent="0.25">
      <c r="A152" s="11" t="s">
        <v>29</v>
      </c>
      <c r="B152" s="11" t="s">
        <v>15</v>
      </c>
      <c r="C152" s="11">
        <v>355200</v>
      </c>
      <c r="D152" s="12">
        <v>45995</v>
      </c>
      <c r="E152" s="4">
        <v>1420946</v>
      </c>
      <c r="F152" s="11" t="s">
        <v>3</v>
      </c>
      <c r="G152" s="12">
        <v>45996</v>
      </c>
      <c r="H152" s="11" t="s">
        <v>7</v>
      </c>
    </row>
    <row r="153" spans="1:9" x14ac:dyDescent="0.25">
      <c r="A153" s="11" t="s">
        <v>14</v>
      </c>
      <c r="B153" s="11" t="s">
        <v>15</v>
      </c>
      <c r="C153" s="26" t="s">
        <v>49</v>
      </c>
      <c r="D153" s="12">
        <v>45995</v>
      </c>
      <c r="E153" s="4">
        <v>1440950</v>
      </c>
      <c r="F153" s="29" t="s">
        <v>2</v>
      </c>
      <c r="G153" s="12">
        <v>46035</v>
      </c>
      <c r="H153" s="11" t="s">
        <v>7</v>
      </c>
      <c r="I153" s="1"/>
    </row>
    <row r="154" spans="1:9" x14ac:dyDescent="0.25">
      <c r="A154" s="11" t="s">
        <v>14</v>
      </c>
      <c r="B154" s="11" t="s">
        <v>15</v>
      </c>
      <c r="C154" s="26" t="s">
        <v>51</v>
      </c>
      <c r="D154" s="12">
        <v>45997</v>
      </c>
      <c r="E154" s="4">
        <v>1450460</v>
      </c>
      <c r="F154" s="30" t="s">
        <v>3</v>
      </c>
      <c r="G154" s="12">
        <v>46042</v>
      </c>
      <c r="H154" s="11" t="s">
        <v>7</v>
      </c>
    </row>
    <row r="155" spans="1:9" hidden="1" x14ac:dyDescent="0.25">
      <c r="A155" s="11" t="s">
        <v>39</v>
      </c>
      <c r="B155" s="11" t="s">
        <v>15</v>
      </c>
      <c r="C155" s="11">
        <v>426334</v>
      </c>
      <c r="D155" s="12">
        <v>45999</v>
      </c>
      <c r="E155" s="4">
        <v>342912</v>
      </c>
      <c r="F155" s="11" t="s">
        <v>2</v>
      </c>
      <c r="G155" s="12">
        <v>46006</v>
      </c>
      <c r="H155" s="11" t="s">
        <v>7</v>
      </c>
    </row>
    <row r="156" spans="1:9" hidden="1" x14ac:dyDescent="0.25">
      <c r="A156" s="11" t="s">
        <v>27</v>
      </c>
      <c r="B156" s="11" t="s">
        <v>28</v>
      </c>
      <c r="C156" s="11" t="s">
        <v>50</v>
      </c>
      <c r="D156" s="12">
        <v>46001</v>
      </c>
      <c r="E156" s="4">
        <v>100000</v>
      </c>
      <c r="F156" s="11" t="s">
        <v>2</v>
      </c>
      <c r="G156" s="12">
        <v>46000</v>
      </c>
      <c r="H156" s="11" t="s">
        <v>6</v>
      </c>
    </row>
    <row r="157" spans="1:9" hidden="1" x14ac:dyDescent="0.25">
      <c r="A157" s="11" t="s">
        <v>0</v>
      </c>
      <c r="B157" s="11" t="s">
        <v>52</v>
      </c>
      <c r="C157" s="11" t="s">
        <v>50</v>
      </c>
      <c r="D157" s="12">
        <v>46001</v>
      </c>
      <c r="E157" s="4">
        <v>991710</v>
      </c>
      <c r="F157" s="11" t="s">
        <v>3</v>
      </c>
      <c r="G157" s="12">
        <v>46006</v>
      </c>
      <c r="H157" s="11" t="s">
        <v>6</v>
      </c>
    </row>
    <row r="158" spans="1:9" hidden="1" x14ac:dyDescent="0.25">
      <c r="A158" s="11" t="s">
        <v>1</v>
      </c>
      <c r="B158" s="11" t="s">
        <v>52</v>
      </c>
      <c r="C158" s="11" t="s">
        <v>50</v>
      </c>
      <c r="D158" s="12">
        <v>46001</v>
      </c>
      <c r="E158" s="4">
        <v>991710</v>
      </c>
      <c r="F158" s="11" t="s">
        <v>3</v>
      </c>
      <c r="G158" s="12">
        <v>46006</v>
      </c>
      <c r="H158" s="11" t="s">
        <v>6</v>
      </c>
    </row>
    <row r="159" spans="1:9" hidden="1" x14ac:dyDescent="0.25">
      <c r="A159" s="11" t="s">
        <v>30</v>
      </c>
      <c r="B159" s="11" t="s">
        <v>31</v>
      </c>
      <c r="C159" s="11">
        <v>7714670</v>
      </c>
      <c r="D159" s="12">
        <v>46002</v>
      </c>
      <c r="E159" s="4">
        <v>1795590</v>
      </c>
      <c r="F159" s="11" t="s">
        <v>2</v>
      </c>
      <c r="G159" s="12">
        <v>46001</v>
      </c>
      <c r="H159" s="11" t="s">
        <v>6</v>
      </c>
    </row>
    <row r="160" spans="1:9" hidden="1" x14ac:dyDescent="0.25">
      <c r="A160" s="11" t="s">
        <v>26</v>
      </c>
      <c r="B160" s="11">
        <v>894509</v>
      </c>
      <c r="C160" s="11" t="s">
        <v>50</v>
      </c>
      <c r="D160" s="12">
        <v>46003</v>
      </c>
      <c r="E160" s="4">
        <v>284451</v>
      </c>
      <c r="F160" s="11" t="s">
        <v>2</v>
      </c>
      <c r="G160" s="12">
        <v>46006</v>
      </c>
      <c r="H160" s="11" t="s">
        <v>6</v>
      </c>
    </row>
    <row r="161" spans="1:8" x14ac:dyDescent="0.25">
      <c r="A161" s="11" t="s">
        <v>14</v>
      </c>
      <c r="B161" s="11" t="s">
        <v>15</v>
      </c>
      <c r="C161" s="26" t="s">
        <v>53</v>
      </c>
      <c r="D161" s="12">
        <v>46003</v>
      </c>
      <c r="E161" s="4">
        <v>1493600</v>
      </c>
      <c r="F161" s="30" t="s">
        <v>3</v>
      </c>
      <c r="G161" s="12">
        <v>46043</v>
      </c>
      <c r="H161" s="11" t="s">
        <v>7</v>
      </c>
    </row>
    <row r="162" spans="1:8" x14ac:dyDescent="0.25">
      <c r="A162" s="11" t="s">
        <v>14</v>
      </c>
      <c r="B162" s="11" t="s">
        <v>15</v>
      </c>
      <c r="C162" s="26" t="s">
        <v>54</v>
      </c>
      <c r="D162" s="12">
        <v>46004</v>
      </c>
      <c r="E162" s="4">
        <v>715400</v>
      </c>
      <c r="F162" s="29" t="s">
        <v>2</v>
      </c>
      <c r="G162" s="12">
        <v>46045</v>
      </c>
      <c r="H162" s="11" t="s">
        <v>7</v>
      </c>
    </row>
    <row r="163" spans="1:8" hidden="1" x14ac:dyDescent="0.25">
      <c r="A163" s="11" t="s">
        <v>116</v>
      </c>
      <c r="B163" s="11" t="s">
        <v>117</v>
      </c>
      <c r="C163" s="11" t="s">
        <v>5</v>
      </c>
      <c r="D163" s="12">
        <v>46005</v>
      </c>
      <c r="E163" s="4">
        <f>1400000-340000-70000-240000-59000-280000-97000</f>
        <v>314000</v>
      </c>
      <c r="F163" s="11"/>
      <c r="G163" s="11"/>
      <c r="H163" s="11" t="s">
        <v>7</v>
      </c>
    </row>
    <row r="164" spans="1:8" hidden="1" x14ac:dyDescent="0.25">
      <c r="A164" s="11" t="s">
        <v>35</v>
      </c>
      <c r="B164" s="11" t="s">
        <v>36</v>
      </c>
      <c r="C164" s="11" t="s">
        <v>50</v>
      </c>
      <c r="D164" s="12">
        <v>46006</v>
      </c>
      <c r="E164" s="4">
        <v>119400</v>
      </c>
      <c r="F164" s="11" t="s">
        <v>3</v>
      </c>
      <c r="G164" s="12">
        <v>46006</v>
      </c>
      <c r="H164" s="11" t="s">
        <v>6</v>
      </c>
    </row>
    <row r="165" spans="1:8" hidden="1" x14ac:dyDescent="0.25">
      <c r="A165" s="11" t="s">
        <v>0</v>
      </c>
      <c r="B165" s="11" t="s">
        <v>34</v>
      </c>
      <c r="C165" s="11" t="s">
        <v>50</v>
      </c>
      <c r="D165" s="12">
        <v>46006</v>
      </c>
      <c r="E165" s="4">
        <v>1083167</v>
      </c>
      <c r="F165" s="11" t="s">
        <v>3</v>
      </c>
      <c r="G165" s="12">
        <v>46006</v>
      </c>
      <c r="H165" s="11" t="s">
        <v>6</v>
      </c>
    </row>
    <row r="166" spans="1:8" hidden="1" x14ac:dyDescent="0.25">
      <c r="A166" s="11" t="s">
        <v>1</v>
      </c>
      <c r="B166" s="11" t="s">
        <v>34</v>
      </c>
      <c r="C166" s="11" t="s">
        <v>50</v>
      </c>
      <c r="D166" s="12">
        <v>46006</v>
      </c>
      <c r="E166" s="4">
        <v>991710</v>
      </c>
      <c r="F166" s="11" t="s">
        <v>3</v>
      </c>
      <c r="G166" s="12">
        <v>46006</v>
      </c>
      <c r="H166" s="11" t="s">
        <v>6</v>
      </c>
    </row>
    <row r="167" spans="1:8" hidden="1" x14ac:dyDescent="0.25">
      <c r="A167" s="11" t="s">
        <v>37</v>
      </c>
      <c r="B167" s="11" t="s">
        <v>34</v>
      </c>
      <c r="C167" s="11" t="s">
        <v>50</v>
      </c>
      <c r="D167" s="12">
        <v>46006</v>
      </c>
      <c r="E167" s="4">
        <v>210000</v>
      </c>
      <c r="F167" s="11" t="s">
        <v>3</v>
      </c>
      <c r="G167" s="12">
        <v>46006</v>
      </c>
      <c r="H167" s="11" t="s">
        <v>6</v>
      </c>
    </row>
    <row r="168" spans="1:8" hidden="1" x14ac:dyDescent="0.25">
      <c r="A168" s="11" t="s">
        <v>37</v>
      </c>
      <c r="B168" s="11" t="s">
        <v>52</v>
      </c>
      <c r="C168" s="11" t="s">
        <v>50</v>
      </c>
      <c r="D168" s="12">
        <v>46006</v>
      </c>
      <c r="E168" s="4">
        <v>210000</v>
      </c>
      <c r="F168" s="11" t="s">
        <v>3</v>
      </c>
      <c r="G168" s="12">
        <v>46006</v>
      </c>
      <c r="H168" s="11" t="s">
        <v>6</v>
      </c>
    </row>
    <row r="169" spans="1:8" hidden="1" x14ac:dyDescent="0.25">
      <c r="A169" s="11" t="s">
        <v>33</v>
      </c>
      <c r="B169" s="11" t="s">
        <v>34</v>
      </c>
      <c r="C169" s="11" t="s">
        <v>50</v>
      </c>
      <c r="D169" s="12">
        <v>46006</v>
      </c>
      <c r="E169" s="4">
        <v>150000</v>
      </c>
      <c r="F169" s="11" t="s">
        <v>3</v>
      </c>
      <c r="G169" s="12">
        <v>46006</v>
      </c>
      <c r="H169" s="11" t="s">
        <v>6</v>
      </c>
    </row>
    <row r="170" spans="1:8" hidden="1" x14ac:dyDescent="0.25">
      <c r="A170" s="11" t="s">
        <v>33</v>
      </c>
      <c r="B170" s="11" t="s">
        <v>52</v>
      </c>
      <c r="C170" s="11" t="s">
        <v>50</v>
      </c>
      <c r="D170" s="12">
        <v>46006</v>
      </c>
      <c r="E170" s="4">
        <v>150000</v>
      </c>
      <c r="F170" s="11" t="s">
        <v>3</v>
      </c>
      <c r="G170" s="12">
        <v>46021</v>
      </c>
      <c r="H170" s="11"/>
    </row>
    <row r="171" spans="1:8" x14ac:dyDescent="0.25">
      <c r="A171" s="11" t="s">
        <v>14</v>
      </c>
      <c r="B171" s="11" t="s">
        <v>15</v>
      </c>
      <c r="C171" s="26" t="s">
        <v>55</v>
      </c>
      <c r="D171" s="12">
        <v>46006</v>
      </c>
      <c r="E171" s="4">
        <v>1210300</v>
      </c>
      <c r="F171" s="29" t="s">
        <v>2</v>
      </c>
      <c r="G171" s="12">
        <v>46045</v>
      </c>
      <c r="H171" s="11" t="s">
        <v>7</v>
      </c>
    </row>
    <row r="172" spans="1:8" x14ac:dyDescent="0.25">
      <c r="A172" s="11" t="s">
        <v>14</v>
      </c>
      <c r="B172" s="11" t="s">
        <v>15</v>
      </c>
      <c r="C172" s="26" t="s">
        <v>56</v>
      </c>
      <c r="D172" s="12">
        <v>46006</v>
      </c>
      <c r="E172" s="4">
        <v>86400</v>
      </c>
      <c r="F172" s="29" t="s">
        <v>2</v>
      </c>
      <c r="G172" s="12">
        <v>46045</v>
      </c>
      <c r="H172" s="11" t="s">
        <v>7</v>
      </c>
    </row>
    <row r="173" spans="1:8" x14ac:dyDescent="0.25">
      <c r="A173" s="11" t="s">
        <v>14</v>
      </c>
      <c r="B173" s="11" t="s">
        <v>15</v>
      </c>
      <c r="C173" s="26" t="s">
        <v>57</v>
      </c>
      <c r="D173" s="12">
        <v>46009</v>
      </c>
      <c r="E173" s="4">
        <v>663765</v>
      </c>
      <c r="F173" s="30" t="s">
        <v>3</v>
      </c>
      <c r="G173" s="12">
        <v>46049</v>
      </c>
      <c r="H173" s="11" t="s">
        <v>7</v>
      </c>
    </row>
    <row r="174" spans="1:8" x14ac:dyDescent="0.25">
      <c r="A174" s="11" t="s">
        <v>14</v>
      </c>
      <c r="B174" s="11" t="s">
        <v>15</v>
      </c>
      <c r="C174" s="26" t="s">
        <v>58</v>
      </c>
      <c r="D174" s="12">
        <v>46009</v>
      </c>
      <c r="E174" s="4">
        <v>1603450</v>
      </c>
      <c r="F174" s="30" t="s">
        <v>3</v>
      </c>
      <c r="G174" s="12">
        <v>46049</v>
      </c>
      <c r="H174" s="11" t="s">
        <v>7</v>
      </c>
    </row>
    <row r="175" spans="1:8" hidden="1" x14ac:dyDescent="0.25">
      <c r="A175" s="11" t="s">
        <v>39</v>
      </c>
      <c r="B175" s="11" t="s">
        <v>15</v>
      </c>
      <c r="C175" s="11">
        <v>429237</v>
      </c>
      <c r="D175" s="12">
        <v>46010</v>
      </c>
      <c r="E175" s="4">
        <v>1174213</v>
      </c>
      <c r="F175" s="11" t="s">
        <v>3</v>
      </c>
      <c r="G175" s="12">
        <v>46027</v>
      </c>
      <c r="H175" s="11" t="s">
        <v>7</v>
      </c>
    </row>
    <row r="176" spans="1:8" hidden="1" x14ac:dyDescent="0.25">
      <c r="A176" s="11" t="s">
        <v>39</v>
      </c>
      <c r="B176" s="11" t="s">
        <v>15</v>
      </c>
      <c r="C176" s="11">
        <v>429252</v>
      </c>
      <c r="D176" s="12">
        <v>46010</v>
      </c>
      <c r="E176" s="4">
        <v>699647</v>
      </c>
      <c r="F176" s="11" t="s">
        <v>3</v>
      </c>
      <c r="G176" s="12">
        <v>46027</v>
      </c>
      <c r="H176" s="11" t="s">
        <v>7</v>
      </c>
    </row>
    <row r="177" spans="1:8" hidden="1" x14ac:dyDescent="0.25">
      <c r="A177" s="11" t="s">
        <v>29</v>
      </c>
      <c r="B177" s="11" t="s">
        <v>15</v>
      </c>
      <c r="C177" s="11">
        <v>361342</v>
      </c>
      <c r="D177" s="12">
        <v>46011</v>
      </c>
      <c r="E177" s="4">
        <f>158714*0.88</f>
        <v>139668.32</v>
      </c>
      <c r="F177" s="11" t="s">
        <v>2</v>
      </c>
      <c r="G177" s="12">
        <v>46017</v>
      </c>
      <c r="H177" s="11" t="s">
        <v>7</v>
      </c>
    </row>
    <row r="178" spans="1:8" hidden="1" x14ac:dyDescent="0.25">
      <c r="A178" s="11" t="s">
        <v>29</v>
      </c>
      <c r="B178" s="11" t="s">
        <v>15</v>
      </c>
      <c r="C178" s="11">
        <v>361373</v>
      </c>
      <c r="D178" s="12">
        <v>46011</v>
      </c>
      <c r="E178" s="4">
        <f>(94425*0.88)+17941</f>
        <v>101035</v>
      </c>
      <c r="F178" s="11" t="s">
        <v>2</v>
      </c>
      <c r="G178" s="12">
        <v>46017</v>
      </c>
      <c r="H178" s="11" t="s">
        <v>7</v>
      </c>
    </row>
    <row r="179" spans="1:8" hidden="1" x14ac:dyDescent="0.25">
      <c r="A179" s="11" t="s">
        <v>29</v>
      </c>
      <c r="B179" s="11" t="s">
        <v>15</v>
      </c>
      <c r="C179" s="11">
        <v>361531</v>
      </c>
      <c r="D179" s="12">
        <v>46012</v>
      </c>
      <c r="E179" s="4">
        <f>83346*0.88</f>
        <v>73344.479999999996</v>
      </c>
      <c r="F179" s="11" t="s">
        <v>2</v>
      </c>
      <c r="G179" s="12">
        <v>46017</v>
      </c>
      <c r="H179" s="11" t="s">
        <v>7</v>
      </c>
    </row>
    <row r="180" spans="1:8" hidden="1" x14ac:dyDescent="0.25">
      <c r="A180" s="11" t="s">
        <v>29</v>
      </c>
      <c r="B180" s="11" t="s">
        <v>15</v>
      </c>
      <c r="C180" s="11">
        <v>361548</v>
      </c>
      <c r="D180" s="12">
        <v>46012</v>
      </c>
      <c r="E180" s="4">
        <v>866785</v>
      </c>
      <c r="F180" s="11" t="s">
        <v>2</v>
      </c>
      <c r="G180" s="12">
        <v>46017</v>
      </c>
      <c r="H180" s="11" t="s">
        <v>7</v>
      </c>
    </row>
    <row r="181" spans="1:8" hidden="1" x14ac:dyDescent="0.25">
      <c r="A181" s="11" t="s">
        <v>29</v>
      </c>
      <c r="B181" s="11" t="s">
        <v>15</v>
      </c>
      <c r="C181" s="11">
        <v>361555</v>
      </c>
      <c r="D181" s="12">
        <v>46012</v>
      </c>
      <c r="E181" s="4">
        <f>((456153+396683)*0.88)+75369</f>
        <v>825864.68</v>
      </c>
      <c r="F181" s="11" t="s">
        <v>2</v>
      </c>
      <c r="G181" s="12">
        <v>46017</v>
      </c>
      <c r="H181" s="11" t="s">
        <v>7</v>
      </c>
    </row>
    <row r="182" spans="1:8" x14ac:dyDescent="0.25">
      <c r="A182" s="11" t="s">
        <v>14</v>
      </c>
      <c r="B182" s="11" t="s">
        <v>15</v>
      </c>
      <c r="C182" s="26" t="s">
        <v>59</v>
      </c>
      <c r="D182" s="12">
        <v>46012</v>
      </c>
      <c r="E182" s="4">
        <v>1282960</v>
      </c>
      <c r="F182" s="29" t="s">
        <v>2</v>
      </c>
      <c r="G182" s="12">
        <v>46071</v>
      </c>
      <c r="H182" s="11" t="s">
        <v>7</v>
      </c>
    </row>
    <row r="183" spans="1:8" x14ac:dyDescent="0.25">
      <c r="A183" s="11" t="s">
        <v>14</v>
      </c>
      <c r="B183" s="11" t="s">
        <v>15</v>
      </c>
      <c r="C183" s="26" t="s">
        <v>60</v>
      </c>
      <c r="D183" s="12">
        <v>46012</v>
      </c>
      <c r="E183" s="4">
        <v>330900</v>
      </c>
      <c r="F183" s="29" t="s">
        <v>2</v>
      </c>
      <c r="G183" s="12">
        <v>46071</v>
      </c>
      <c r="H183" s="11" t="s">
        <v>7</v>
      </c>
    </row>
    <row r="184" spans="1:8" x14ac:dyDescent="0.25">
      <c r="A184" s="11" t="s">
        <v>14</v>
      </c>
      <c r="B184" s="11" t="s">
        <v>15</v>
      </c>
      <c r="C184" s="26" t="s">
        <v>61</v>
      </c>
      <c r="D184" s="12">
        <v>46015</v>
      </c>
      <c r="E184" s="4">
        <v>1218100</v>
      </c>
      <c r="F184" s="30" t="s">
        <v>3</v>
      </c>
      <c r="G184" s="12">
        <v>46071</v>
      </c>
      <c r="H184" s="11" t="s">
        <v>7</v>
      </c>
    </row>
    <row r="185" spans="1:8" x14ac:dyDescent="0.25">
      <c r="A185" s="11" t="s">
        <v>14</v>
      </c>
      <c r="B185" s="11" t="s">
        <v>15</v>
      </c>
      <c r="C185" s="26" t="s">
        <v>62</v>
      </c>
      <c r="D185" s="12">
        <v>46017</v>
      </c>
      <c r="E185" s="4">
        <v>1274200</v>
      </c>
      <c r="F185" s="30" t="s">
        <v>3</v>
      </c>
      <c r="G185" s="12">
        <v>46071</v>
      </c>
      <c r="H185" s="11" t="s">
        <v>7</v>
      </c>
    </row>
    <row r="186" spans="1:8" x14ac:dyDescent="0.25">
      <c r="A186" s="11" t="s">
        <v>14</v>
      </c>
      <c r="B186" s="11" t="s">
        <v>15</v>
      </c>
      <c r="C186" s="26" t="s">
        <v>132</v>
      </c>
      <c r="D186" s="12">
        <v>46018</v>
      </c>
      <c r="E186" s="4">
        <v>226000</v>
      </c>
      <c r="F186" s="30" t="s">
        <v>3</v>
      </c>
      <c r="G186" s="12">
        <v>46071</v>
      </c>
      <c r="H186" s="11" t="s">
        <v>7</v>
      </c>
    </row>
    <row r="187" spans="1:8" x14ac:dyDescent="0.25">
      <c r="A187" s="11" t="s">
        <v>14</v>
      </c>
      <c r="B187" s="11" t="s">
        <v>15</v>
      </c>
      <c r="C187" s="26" t="s">
        <v>63</v>
      </c>
      <c r="D187" s="12">
        <v>46018</v>
      </c>
      <c r="E187" s="4">
        <v>594500</v>
      </c>
      <c r="F187" s="30" t="s">
        <v>3</v>
      </c>
      <c r="G187" s="12">
        <v>46071</v>
      </c>
      <c r="H187" s="11" t="s">
        <v>7</v>
      </c>
    </row>
    <row r="188" spans="1:8" hidden="1" x14ac:dyDescent="0.25">
      <c r="A188" s="11" t="s">
        <v>0</v>
      </c>
      <c r="B188" s="11" t="s">
        <v>34</v>
      </c>
      <c r="C188" s="11" t="s">
        <v>50</v>
      </c>
      <c r="D188" s="12">
        <v>46021</v>
      </c>
      <c r="E188" s="4">
        <v>1030906</v>
      </c>
      <c r="F188" s="11" t="s">
        <v>3</v>
      </c>
      <c r="G188" s="12">
        <v>46021</v>
      </c>
      <c r="H188" s="11" t="s">
        <v>6</v>
      </c>
    </row>
    <row r="189" spans="1:8" hidden="1" x14ac:dyDescent="0.25">
      <c r="A189" s="11" t="s">
        <v>1</v>
      </c>
      <c r="B189" s="11" t="s">
        <v>34</v>
      </c>
      <c r="C189" s="11" t="s">
        <v>50</v>
      </c>
      <c r="D189" s="12">
        <v>46021</v>
      </c>
      <c r="E189" s="4">
        <v>1030906</v>
      </c>
      <c r="F189" s="11" t="s">
        <v>3</v>
      </c>
      <c r="G189" s="12">
        <v>46021</v>
      </c>
      <c r="H189" s="11" t="s">
        <v>6</v>
      </c>
    </row>
    <row r="190" spans="1:8" hidden="1" x14ac:dyDescent="0.25">
      <c r="A190" s="11" t="s">
        <v>33</v>
      </c>
      <c r="B190" s="11" t="s">
        <v>34</v>
      </c>
      <c r="C190" s="11" t="s">
        <v>50</v>
      </c>
      <c r="D190" s="12">
        <v>46021</v>
      </c>
      <c r="E190" s="4">
        <v>210000</v>
      </c>
      <c r="F190" s="11" t="s">
        <v>3</v>
      </c>
      <c r="G190" s="12">
        <v>46021</v>
      </c>
      <c r="H190" s="11" t="s">
        <v>6</v>
      </c>
    </row>
    <row r="191" spans="1:8" hidden="1" x14ac:dyDescent="0.25">
      <c r="A191" s="11" t="s">
        <v>29</v>
      </c>
      <c r="B191" s="11" t="s">
        <v>15</v>
      </c>
      <c r="C191" s="11">
        <v>364592</v>
      </c>
      <c r="D191" s="12">
        <v>46022</v>
      </c>
      <c r="E191" s="4">
        <v>201362</v>
      </c>
      <c r="F191" s="11" t="s">
        <v>2</v>
      </c>
      <c r="G191" s="12">
        <v>46030</v>
      </c>
      <c r="H191" s="11" t="s">
        <v>7</v>
      </c>
    </row>
    <row r="192" spans="1:8" x14ac:dyDescent="0.25">
      <c r="A192" s="11" t="s">
        <v>14</v>
      </c>
      <c r="B192" s="11" t="s">
        <v>15</v>
      </c>
      <c r="C192" s="26" t="s">
        <v>64</v>
      </c>
      <c r="D192" s="12">
        <v>46022</v>
      </c>
      <c r="E192" s="4">
        <v>1578194</v>
      </c>
      <c r="F192" s="30" t="s">
        <v>3</v>
      </c>
      <c r="G192" s="12">
        <v>46071</v>
      </c>
      <c r="H192" s="11" t="s">
        <v>7</v>
      </c>
    </row>
    <row r="193" spans="1:8" x14ac:dyDescent="0.25">
      <c r="A193" s="11" t="s">
        <v>14</v>
      </c>
      <c r="B193" s="11" t="s">
        <v>15</v>
      </c>
      <c r="C193" s="26" t="s">
        <v>65</v>
      </c>
      <c r="D193" s="12">
        <v>46023</v>
      </c>
      <c r="E193" s="4">
        <v>1076390</v>
      </c>
      <c r="F193" s="30" t="s">
        <v>3</v>
      </c>
      <c r="G193" s="12">
        <v>46071</v>
      </c>
      <c r="H193" s="11" t="s">
        <v>7</v>
      </c>
    </row>
    <row r="194" spans="1:8" hidden="1" x14ac:dyDescent="0.25">
      <c r="A194" s="11" t="s">
        <v>29</v>
      </c>
      <c r="B194" s="11" t="s">
        <v>15</v>
      </c>
      <c r="C194" s="11">
        <v>365933</v>
      </c>
      <c r="D194" s="12">
        <v>46025</v>
      </c>
      <c r="E194" s="4">
        <v>282500</v>
      </c>
      <c r="F194" s="11" t="s">
        <v>2</v>
      </c>
      <c r="G194" s="12">
        <v>46030</v>
      </c>
      <c r="H194" s="11" t="s">
        <v>7</v>
      </c>
    </row>
    <row r="195" spans="1:8" hidden="1" x14ac:dyDescent="0.25">
      <c r="A195" s="11" t="s">
        <v>29</v>
      </c>
      <c r="B195" s="11" t="s">
        <v>15</v>
      </c>
      <c r="C195" s="11">
        <v>365934</v>
      </c>
      <c r="D195" s="12">
        <v>46025</v>
      </c>
      <c r="E195" s="4">
        <f>139019*0.88</f>
        <v>122336.72</v>
      </c>
      <c r="F195" s="11" t="s">
        <v>2</v>
      </c>
      <c r="G195" s="12">
        <v>46030</v>
      </c>
      <c r="H195" s="11" t="s">
        <v>7</v>
      </c>
    </row>
    <row r="196" spans="1:8" x14ac:dyDescent="0.25">
      <c r="A196" s="11" t="s">
        <v>14</v>
      </c>
      <c r="B196" s="11" t="s">
        <v>15</v>
      </c>
      <c r="C196" s="26" t="s">
        <v>66</v>
      </c>
      <c r="D196" s="12">
        <v>46025</v>
      </c>
      <c r="E196" s="4">
        <v>1554500</v>
      </c>
      <c r="F196" s="30" t="s">
        <v>3</v>
      </c>
      <c r="G196" s="12">
        <v>46071</v>
      </c>
      <c r="H196" s="11" t="s">
        <v>7</v>
      </c>
    </row>
    <row r="197" spans="1:8" x14ac:dyDescent="0.25">
      <c r="A197" s="11" t="s">
        <v>14</v>
      </c>
      <c r="B197" s="11" t="s">
        <v>15</v>
      </c>
      <c r="C197" s="26" t="s">
        <v>67</v>
      </c>
      <c r="D197" s="12">
        <v>46025</v>
      </c>
      <c r="E197" s="4">
        <v>171900</v>
      </c>
      <c r="F197" s="30" t="s">
        <v>3</v>
      </c>
      <c r="G197" s="12">
        <v>46071</v>
      </c>
      <c r="H197" s="11" t="s">
        <v>7</v>
      </c>
    </row>
    <row r="198" spans="1:8" hidden="1" x14ac:dyDescent="0.25">
      <c r="A198" s="11" t="s">
        <v>29</v>
      </c>
      <c r="B198" s="11" t="s">
        <v>15</v>
      </c>
      <c r="C198" s="11">
        <v>366874</v>
      </c>
      <c r="D198" s="12">
        <v>46027</v>
      </c>
      <c r="E198" s="4">
        <v>116024</v>
      </c>
      <c r="F198" s="11" t="s">
        <v>2</v>
      </c>
      <c r="G198" s="12">
        <v>46042</v>
      </c>
      <c r="H198" s="11" t="s">
        <v>7</v>
      </c>
    </row>
    <row r="199" spans="1:8" hidden="1" x14ac:dyDescent="0.25">
      <c r="A199" s="11" t="s">
        <v>29</v>
      </c>
      <c r="B199" s="11" t="s">
        <v>15</v>
      </c>
      <c r="C199" s="11">
        <v>366894</v>
      </c>
      <c r="D199" s="12">
        <v>46027</v>
      </c>
      <c r="E199" s="4">
        <v>179294</v>
      </c>
      <c r="F199" s="11" t="s">
        <v>2</v>
      </c>
      <c r="G199" s="12">
        <v>46042</v>
      </c>
      <c r="H199" s="11" t="s">
        <v>7</v>
      </c>
    </row>
    <row r="200" spans="1:8" hidden="1" x14ac:dyDescent="0.25">
      <c r="A200" s="11" t="s">
        <v>40</v>
      </c>
      <c r="B200" s="11" t="s">
        <v>41</v>
      </c>
      <c r="C200" s="11" t="s">
        <v>68</v>
      </c>
      <c r="D200" s="12">
        <v>46027</v>
      </c>
      <c r="E200" s="4">
        <v>3000000</v>
      </c>
      <c r="F200" s="11" t="s">
        <v>2</v>
      </c>
      <c r="G200" s="12">
        <v>46027</v>
      </c>
      <c r="H200" s="11" t="s">
        <v>6</v>
      </c>
    </row>
    <row r="201" spans="1:8" x14ac:dyDescent="0.25">
      <c r="A201" s="11" t="s">
        <v>14</v>
      </c>
      <c r="B201" s="11" t="s">
        <v>15</v>
      </c>
      <c r="C201" s="26" t="s">
        <v>69</v>
      </c>
      <c r="D201" s="12">
        <v>46027</v>
      </c>
      <c r="E201" s="4">
        <v>987190</v>
      </c>
      <c r="F201" s="30" t="s">
        <v>3</v>
      </c>
      <c r="G201" s="12">
        <v>46071</v>
      </c>
      <c r="H201" s="11" t="s">
        <v>7</v>
      </c>
    </row>
    <row r="202" spans="1:8" x14ac:dyDescent="0.25">
      <c r="A202" s="11" t="s">
        <v>14</v>
      </c>
      <c r="B202" s="11" t="s">
        <v>15</v>
      </c>
      <c r="C202" s="26" t="s">
        <v>70</v>
      </c>
      <c r="D202" s="12">
        <v>46029</v>
      </c>
      <c r="E202" s="4">
        <v>87000</v>
      </c>
      <c r="F202" s="30" t="s">
        <v>3</v>
      </c>
      <c r="G202" s="12">
        <v>46071</v>
      </c>
      <c r="H202" s="11" t="s">
        <v>7</v>
      </c>
    </row>
    <row r="203" spans="1:8" x14ac:dyDescent="0.25">
      <c r="A203" s="11" t="s">
        <v>14</v>
      </c>
      <c r="B203" s="11" t="s">
        <v>15</v>
      </c>
      <c r="C203" s="26" t="s">
        <v>71</v>
      </c>
      <c r="D203" s="12">
        <v>46031</v>
      </c>
      <c r="E203" s="4">
        <v>1530000</v>
      </c>
      <c r="F203" s="30" t="s">
        <v>3</v>
      </c>
      <c r="G203" s="12">
        <v>46073</v>
      </c>
      <c r="H203" s="11" t="s">
        <v>7</v>
      </c>
    </row>
    <row r="204" spans="1:8" hidden="1" x14ac:dyDescent="0.25">
      <c r="A204" s="11" t="s">
        <v>27</v>
      </c>
      <c r="B204" s="11" t="s">
        <v>28</v>
      </c>
      <c r="C204" s="11" t="s">
        <v>68</v>
      </c>
      <c r="D204" s="12">
        <v>46032</v>
      </c>
      <c r="E204" s="4">
        <v>100000</v>
      </c>
      <c r="F204" s="11" t="s">
        <v>2</v>
      </c>
      <c r="G204" s="12">
        <v>46033</v>
      </c>
      <c r="H204" s="11" t="s">
        <v>6</v>
      </c>
    </row>
    <row r="205" spans="1:8" hidden="1" x14ac:dyDescent="0.25">
      <c r="A205" s="11" t="s">
        <v>26</v>
      </c>
      <c r="B205" s="11">
        <v>894509</v>
      </c>
      <c r="C205" s="11" t="s">
        <v>68</v>
      </c>
      <c r="D205" s="12">
        <v>46033</v>
      </c>
      <c r="E205" s="4">
        <v>308592</v>
      </c>
      <c r="F205" s="11" t="s">
        <v>2</v>
      </c>
      <c r="G205" s="12">
        <v>46035</v>
      </c>
      <c r="H205" s="11" t="s">
        <v>6</v>
      </c>
    </row>
    <row r="206" spans="1:8" x14ac:dyDescent="0.25">
      <c r="A206" s="11" t="s">
        <v>14</v>
      </c>
      <c r="B206" s="11" t="s">
        <v>15</v>
      </c>
      <c r="C206" s="26" t="s">
        <v>72</v>
      </c>
      <c r="D206" s="12">
        <v>46033</v>
      </c>
      <c r="E206" s="4">
        <v>1479500</v>
      </c>
      <c r="F206" s="29" t="s">
        <v>2</v>
      </c>
      <c r="G206" s="12">
        <v>46073</v>
      </c>
      <c r="H206" s="11" t="s">
        <v>7</v>
      </c>
    </row>
    <row r="207" spans="1:8" hidden="1" x14ac:dyDescent="0.25">
      <c r="A207" s="11" t="s">
        <v>30</v>
      </c>
      <c r="B207" s="11">
        <v>7714670</v>
      </c>
      <c r="C207" s="11" t="s">
        <v>68</v>
      </c>
      <c r="D207" s="12">
        <v>46035</v>
      </c>
      <c r="E207" s="4">
        <v>2311920</v>
      </c>
      <c r="F207" s="11" t="s">
        <v>2</v>
      </c>
      <c r="G207" s="12">
        <v>46035</v>
      </c>
      <c r="H207" s="11" t="s">
        <v>6</v>
      </c>
    </row>
    <row r="208" spans="1:8" x14ac:dyDescent="0.25">
      <c r="A208" s="11" t="s">
        <v>14</v>
      </c>
      <c r="B208" s="11" t="s">
        <v>15</v>
      </c>
      <c r="C208" s="26" t="s">
        <v>73</v>
      </c>
      <c r="D208" s="12">
        <v>46036</v>
      </c>
      <c r="E208" s="4">
        <v>1869720</v>
      </c>
      <c r="F208" s="30" t="s">
        <v>3</v>
      </c>
      <c r="G208" s="12">
        <v>46086</v>
      </c>
      <c r="H208" s="11" t="s">
        <v>7</v>
      </c>
    </row>
    <row r="209" spans="1:8" x14ac:dyDescent="0.25">
      <c r="A209" s="11" t="s">
        <v>14</v>
      </c>
      <c r="B209" s="11" t="s">
        <v>15</v>
      </c>
      <c r="C209" s="26" t="s">
        <v>74</v>
      </c>
      <c r="D209" s="12">
        <v>46036</v>
      </c>
      <c r="E209" s="4">
        <v>163500</v>
      </c>
      <c r="F209" s="30" t="s">
        <v>3</v>
      </c>
      <c r="G209" s="12">
        <v>46086</v>
      </c>
      <c r="H209" s="11" t="s">
        <v>7</v>
      </c>
    </row>
    <row r="210" spans="1:8" hidden="1" x14ac:dyDescent="0.25">
      <c r="A210" s="11" t="s">
        <v>35</v>
      </c>
      <c r="B210" s="11" t="s">
        <v>36</v>
      </c>
      <c r="C210" s="11" t="s">
        <v>68</v>
      </c>
      <c r="D210" s="12">
        <v>46037</v>
      </c>
      <c r="E210" s="4">
        <v>164739</v>
      </c>
      <c r="F210" s="11" t="s">
        <v>2</v>
      </c>
      <c r="G210" s="12">
        <v>46036</v>
      </c>
      <c r="H210" s="11" t="s">
        <v>6</v>
      </c>
    </row>
    <row r="211" spans="1:8" hidden="1" x14ac:dyDescent="0.25">
      <c r="A211" s="11" t="s">
        <v>0</v>
      </c>
      <c r="B211" s="11" t="s">
        <v>34</v>
      </c>
      <c r="C211" s="11" t="s">
        <v>68</v>
      </c>
      <c r="D211" s="12">
        <v>46037</v>
      </c>
      <c r="E211" s="4">
        <v>1500000</v>
      </c>
      <c r="F211" s="11" t="s">
        <v>3</v>
      </c>
      <c r="G211" s="12">
        <v>46037</v>
      </c>
      <c r="H211" s="11" t="s">
        <v>6</v>
      </c>
    </row>
    <row r="212" spans="1:8" hidden="1" x14ac:dyDescent="0.25">
      <c r="A212" s="11" t="s">
        <v>1</v>
      </c>
      <c r="B212" s="11" t="s">
        <v>34</v>
      </c>
      <c r="C212" s="11" t="s">
        <v>68</v>
      </c>
      <c r="D212" s="12">
        <v>46037</v>
      </c>
      <c r="E212" s="4">
        <v>1500000</v>
      </c>
      <c r="F212" s="11" t="s">
        <v>3</v>
      </c>
      <c r="G212" s="12">
        <v>46037</v>
      </c>
      <c r="H212" s="11" t="s">
        <v>6</v>
      </c>
    </row>
    <row r="213" spans="1:8" hidden="1" x14ac:dyDescent="0.25">
      <c r="A213" s="11" t="s">
        <v>33</v>
      </c>
      <c r="B213" s="11" t="s">
        <v>34</v>
      </c>
      <c r="C213" s="11" t="s">
        <v>68</v>
      </c>
      <c r="D213" s="12">
        <v>46037</v>
      </c>
      <c r="E213" s="4">
        <v>210000</v>
      </c>
      <c r="F213" s="11" t="s">
        <v>3</v>
      </c>
      <c r="G213" s="12">
        <v>46037</v>
      </c>
      <c r="H213" s="11" t="s">
        <v>6</v>
      </c>
    </row>
    <row r="214" spans="1:8" hidden="1" x14ac:dyDescent="0.25">
      <c r="A214" s="11" t="s">
        <v>75</v>
      </c>
      <c r="B214" s="11" t="s">
        <v>34</v>
      </c>
      <c r="C214" s="11" t="s">
        <v>68</v>
      </c>
      <c r="D214" s="12">
        <v>46037</v>
      </c>
      <c r="E214" s="4">
        <v>190000</v>
      </c>
      <c r="F214" s="11" t="s">
        <v>3</v>
      </c>
      <c r="G214" s="12">
        <v>46037</v>
      </c>
      <c r="H214" s="11" t="s">
        <v>6</v>
      </c>
    </row>
    <row r="215" spans="1:8" hidden="1" x14ac:dyDescent="0.25">
      <c r="A215" s="11" t="s">
        <v>76</v>
      </c>
      <c r="B215" s="11" t="s">
        <v>34</v>
      </c>
      <c r="C215" s="11" t="s">
        <v>68</v>
      </c>
      <c r="D215" s="12">
        <v>46037</v>
      </c>
      <c r="E215" s="4">
        <v>0</v>
      </c>
      <c r="F215" s="11" t="s">
        <v>3</v>
      </c>
      <c r="G215" s="12">
        <v>46037</v>
      </c>
      <c r="H215" s="11" t="s">
        <v>6</v>
      </c>
    </row>
    <row r="216" spans="1:8" hidden="1" x14ac:dyDescent="0.25">
      <c r="A216" s="11" t="s">
        <v>118</v>
      </c>
      <c r="B216" s="11" t="s">
        <v>130</v>
      </c>
      <c r="C216" s="11" t="s">
        <v>68</v>
      </c>
      <c r="D216" s="12">
        <v>46037</v>
      </c>
      <c r="E216" s="4">
        <v>500000</v>
      </c>
      <c r="F216" s="11" t="s">
        <v>3</v>
      </c>
      <c r="G216" s="12">
        <v>46037</v>
      </c>
      <c r="H216" s="11" t="s">
        <v>119</v>
      </c>
    </row>
    <row r="217" spans="1:8" x14ac:dyDescent="0.25">
      <c r="A217" s="11" t="s">
        <v>14</v>
      </c>
      <c r="B217" s="11" t="s">
        <v>15</v>
      </c>
      <c r="C217" s="26" t="s">
        <v>77</v>
      </c>
      <c r="D217" s="12">
        <v>46038</v>
      </c>
      <c r="E217" s="4">
        <v>540480</v>
      </c>
      <c r="F217" s="30" t="s">
        <v>3</v>
      </c>
      <c r="G217" s="12">
        <v>46086</v>
      </c>
      <c r="H217" s="11" t="s">
        <v>7</v>
      </c>
    </row>
    <row r="218" spans="1:8" x14ac:dyDescent="0.25">
      <c r="A218" s="11" t="s">
        <v>14</v>
      </c>
      <c r="B218" s="11" t="s">
        <v>15</v>
      </c>
      <c r="C218" s="26" t="s">
        <v>78</v>
      </c>
      <c r="D218" s="12">
        <v>46038</v>
      </c>
      <c r="E218" s="4">
        <v>460500</v>
      </c>
      <c r="F218" s="29" t="s">
        <v>2</v>
      </c>
      <c r="G218" s="12">
        <v>46086</v>
      </c>
      <c r="H218" s="11" t="s">
        <v>7</v>
      </c>
    </row>
    <row r="219" spans="1:8" x14ac:dyDescent="0.25">
      <c r="A219" s="11" t="s">
        <v>14</v>
      </c>
      <c r="B219" s="11" t="s">
        <v>15</v>
      </c>
      <c r="C219" s="26" t="s">
        <v>79</v>
      </c>
      <c r="D219" s="12">
        <v>46040</v>
      </c>
      <c r="E219" s="4">
        <v>754700</v>
      </c>
      <c r="F219" s="29" t="s">
        <v>2</v>
      </c>
      <c r="G219" s="12">
        <v>46086</v>
      </c>
      <c r="H219" s="11" t="s">
        <v>7</v>
      </c>
    </row>
    <row r="220" spans="1:8" x14ac:dyDescent="0.25">
      <c r="A220" s="11" t="s">
        <v>14</v>
      </c>
      <c r="B220" s="11" t="s">
        <v>15</v>
      </c>
      <c r="C220" s="26" t="s">
        <v>80</v>
      </c>
      <c r="D220" s="12">
        <v>46043</v>
      </c>
      <c r="E220" s="4">
        <v>1043800</v>
      </c>
      <c r="F220" s="30" t="s">
        <v>3</v>
      </c>
      <c r="G220" s="12">
        <v>46094</v>
      </c>
      <c r="H220" s="11" t="s">
        <v>7</v>
      </c>
    </row>
    <row r="221" spans="1:8" x14ac:dyDescent="0.25">
      <c r="A221" s="11" t="s">
        <v>14</v>
      </c>
      <c r="B221" s="11" t="s">
        <v>15</v>
      </c>
      <c r="C221" s="26" t="s">
        <v>81</v>
      </c>
      <c r="D221" s="12">
        <v>46044</v>
      </c>
      <c r="E221" s="4">
        <v>745850</v>
      </c>
      <c r="F221" s="30" t="s">
        <v>3</v>
      </c>
      <c r="G221" s="12">
        <v>46095</v>
      </c>
      <c r="H221" s="11" t="s">
        <v>7</v>
      </c>
    </row>
    <row r="222" spans="1:8" hidden="1" x14ac:dyDescent="0.25">
      <c r="A222" s="11" t="s">
        <v>29</v>
      </c>
      <c r="B222" s="11" t="s">
        <v>15</v>
      </c>
      <c r="C222" s="11">
        <v>372729</v>
      </c>
      <c r="D222" s="12">
        <v>46045</v>
      </c>
      <c r="E222" s="24">
        <f>(537652*0.88)+102153</f>
        <v>575286.76</v>
      </c>
      <c r="F222" s="11" t="s">
        <v>2</v>
      </c>
      <c r="G222" s="12">
        <v>46049</v>
      </c>
      <c r="H222" s="11" t="s">
        <v>7</v>
      </c>
    </row>
    <row r="223" spans="1:8" hidden="1" x14ac:dyDescent="0.25">
      <c r="A223" s="11" t="s">
        <v>29</v>
      </c>
      <c r="B223" s="11" t="s">
        <v>15</v>
      </c>
      <c r="C223" s="11">
        <v>372733</v>
      </c>
      <c r="D223" s="12">
        <v>46045</v>
      </c>
      <c r="E223" s="4">
        <v>1061247</v>
      </c>
      <c r="F223" s="11" t="s">
        <v>2</v>
      </c>
      <c r="G223" s="12">
        <v>46049</v>
      </c>
      <c r="H223" s="11" t="s">
        <v>7</v>
      </c>
    </row>
    <row r="224" spans="1:8" hidden="1" x14ac:dyDescent="0.25">
      <c r="A224" s="11" t="s">
        <v>29</v>
      </c>
      <c r="B224" s="11" t="s">
        <v>15</v>
      </c>
      <c r="C224" s="11">
        <v>373188</v>
      </c>
      <c r="D224" s="12">
        <v>46048</v>
      </c>
      <c r="E224" s="25">
        <f>259797*0.88</f>
        <v>228621.36000000002</v>
      </c>
      <c r="F224" s="11" t="s">
        <v>2</v>
      </c>
      <c r="G224" s="12">
        <v>46049</v>
      </c>
      <c r="H224" s="11" t="s">
        <v>7</v>
      </c>
    </row>
    <row r="225" spans="1:9" hidden="1" x14ac:dyDescent="0.25">
      <c r="A225" s="11" t="s">
        <v>29</v>
      </c>
      <c r="B225" s="11" t="s">
        <v>15</v>
      </c>
      <c r="C225" s="11">
        <v>373196</v>
      </c>
      <c r="D225" s="12">
        <v>46048</v>
      </c>
      <c r="E225" s="4">
        <v>592941</v>
      </c>
      <c r="F225" s="11" t="s">
        <v>2</v>
      </c>
      <c r="G225" s="12">
        <v>46062</v>
      </c>
      <c r="H225" s="11" t="s">
        <v>7</v>
      </c>
    </row>
    <row r="226" spans="1:9" hidden="1" x14ac:dyDescent="0.25">
      <c r="A226" s="11" t="s">
        <v>29</v>
      </c>
      <c r="B226" s="11" t="s">
        <v>15</v>
      </c>
      <c r="C226" s="11">
        <v>373213</v>
      </c>
      <c r="D226" s="12">
        <v>46048</v>
      </c>
      <c r="E226" s="4">
        <v>59208</v>
      </c>
      <c r="F226" s="11" t="s">
        <v>2</v>
      </c>
      <c r="G226" s="12">
        <v>46062</v>
      </c>
      <c r="H226" s="11" t="s">
        <v>7</v>
      </c>
    </row>
    <row r="227" spans="1:9" hidden="1" x14ac:dyDescent="0.25">
      <c r="A227" s="11" t="s">
        <v>29</v>
      </c>
      <c r="B227" s="11" t="s">
        <v>15</v>
      </c>
      <c r="C227" s="11">
        <v>373214</v>
      </c>
      <c r="D227" s="12">
        <v>46048</v>
      </c>
      <c r="E227" s="25">
        <f>177232*0.88</f>
        <v>155964.16</v>
      </c>
      <c r="F227" s="11" t="s">
        <v>2</v>
      </c>
      <c r="G227" s="12">
        <v>46049</v>
      </c>
      <c r="H227" s="11" t="s">
        <v>7</v>
      </c>
    </row>
    <row r="228" spans="1:9" x14ac:dyDescent="0.25">
      <c r="A228" s="11" t="s">
        <v>14</v>
      </c>
      <c r="B228" s="11" t="s">
        <v>15</v>
      </c>
      <c r="C228" s="26" t="s">
        <v>82</v>
      </c>
      <c r="D228" s="12">
        <v>46048</v>
      </c>
      <c r="E228" s="4">
        <v>923900</v>
      </c>
      <c r="F228" s="30" t="s">
        <v>3</v>
      </c>
      <c r="G228" s="12">
        <v>46105</v>
      </c>
      <c r="H228" s="11" t="s">
        <v>7</v>
      </c>
      <c r="I228" s="1"/>
    </row>
    <row r="229" spans="1:9" hidden="1" x14ac:dyDescent="0.25">
      <c r="A229" s="11" t="s">
        <v>104</v>
      </c>
      <c r="B229" s="11" t="s">
        <v>15</v>
      </c>
      <c r="C229" s="11">
        <v>38115812</v>
      </c>
      <c r="D229" s="12">
        <v>46050</v>
      </c>
      <c r="E229" s="4">
        <v>342922</v>
      </c>
      <c r="F229" s="11" t="s">
        <v>2</v>
      </c>
      <c r="G229" s="12">
        <v>46050</v>
      </c>
      <c r="H229" s="11" t="s">
        <v>7</v>
      </c>
      <c r="I229" s="1"/>
    </row>
    <row r="230" spans="1:9" x14ac:dyDescent="0.25">
      <c r="A230" s="11" t="s">
        <v>14</v>
      </c>
      <c r="B230" s="11" t="s">
        <v>15</v>
      </c>
      <c r="C230" s="26" t="s">
        <v>83</v>
      </c>
      <c r="D230" s="12">
        <v>46050</v>
      </c>
      <c r="E230" s="4">
        <v>1255960</v>
      </c>
      <c r="F230" s="30" t="s">
        <v>3</v>
      </c>
      <c r="G230" s="12">
        <v>46105</v>
      </c>
      <c r="H230" s="11" t="s">
        <v>7</v>
      </c>
      <c r="I230" s="1"/>
    </row>
    <row r="231" spans="1:9" x14ac:dyDescent="0.25">
      <c r="A231" s="11" t="s">
        <v>14</v>
      </c>
      <c r="B231" s="11" t="s">
        <v>142</v>
      </c>
      <c r="C231" s="11" t="s">
        <v>124</v>
      </c>
      <c r="D231" s="12">
        <v>46051</v>
      </c>
      <c r="E231" s="4">
        <v>2837462</v>
      </c>
      <c r="F231" s="11"/>
      <c r="G231" s="11"/>
      <c r="H231" s="11" t="s">
        <v>7</v>
      </c>
      <c r="I231" s="1"/>
    </row>
    <row r="232" spans="1:9" hidden="1" x14ac:dyDescent="0.25">
      <c r="A232" s="11" t="s">
        <v>0</v>
      </c>
      <c r="B232" s="11" t="s">
        <v>34</v>
      </c>
      <c r="C232" s="11" t="s">
        <v>68</v>
      </c>
      <c r="D232" s="12">
        <v>46052</v>
      </c>
      <c r="E232" s="4">
        <v>1500000</v>
      </c>
      <c r="F232" s="11" t="s">
        <v>2</v>
      </c>
      <c r="G232" s="12">
        <v>46055</v>
      </c>
      <c r="H232" s="11" t="s">
        <v>6</v>
      </c>
      <c r="I232" s="1"/>
    </row>
    <row r="233" spans="1:9" hidden="1" x14ac:dyDescent="0.25">
      <c r="A233" s="11" t="s">
        <v>1</v>
      </c>
      <c r="B233" s="11" t="s">
        <v>34</v>
      </c>
      <c r="C233" s="11" t="s">
        <v>68</v>
      </c>
      <c r="D233" s="12">
        <v>46052</v>
      </c>
      <c r="E233" s="4">
        <v>1500000</v>
      </c>
      <c r="F233" s="31" t="s">
        <v>3</v>
      </c>
      <c r="G233" s="12">
        <v>46055</v>
      </c>
      <c r="H233" s="11" t="s">
        <v>6</v>
      </c>
    </row>
    <row r="234" spans="1:9" hidden="1" x14ac:dyDescent="0.25">
      <c r="A234" s="11" t="s">
        <v>111</v>
      </c>
      <c r="B234" s="11" t="s">
        <v>34</v>
      </c>
      <c r="C234" s="11" t="s">
        <v>68</v>
      </c>
      <c r="D234" s="12">
        <v>46052</v>
      </c>
      <c r="E234" s="4">
        <v>110000</v>
      </c>
      <c r="F234" s="11" t="s">
        <v>3</v>
      </c>
      <c r="G234" s="12">
        <v>46052</v>
      </c>
      <c r="H234" s="11" t="s">
        <v>6</v>
      </c>
    </row>
    <row r="235" spans="1:9" hidden="1" x14ac:dyDescent="0.25">
      <c r="A235" s="11" t="s">
        <v>112</v>
      </c>
      <c r="B235" s="11" t="s">
        <v>34</v>
      </c>
      <c r="C235" s="11" t="s">
        <v>68</v>
      </c>
      <c r="D235" s="12">
        <v>46052</v>
      </c>
      <c r="E235" s="4">
        <v>190000</v>
      </c>
      <c r="F235" s="11" t="s">
        <v>3</v>
      </c>
      <c r="G235" s="12">
        <v>46052</v>
      </c>
      <c r="H235" s="11" t="s">
        <v>6</v>
      </c>
    </row>
    <row r="236" spans="1:9" hidden="1" x14ac:dyDescent="0.25">
      <c r="A236" s="11" t="s">
        <v>118</v>
      </c>
      <c r="B236" s="11" t="s">
        <v>130</v>
      </c>
      <c r="C236" s="11" t="s">
        <v>68</v>
      </c>
      <c r="D236" s="12">
        <v>46052</v>
      </c>
      <c r="E236" s="4">
        <v>500000</v>
      </c>
      <c r="F236" s="11" t="s">
        <v>3</v>
      </c>
      <c r="G236" s="12">
        <v>46032</v>
      </c>
      <c r="H236" s="11" t="s">
        <v>119</v>
      </c>
    </row>
    <row r="237" spans="1:9" x14ac:dyDescent="0.25">
      <c r="A237" s="11" t="s">
        <v>14</v>
      </c>
      <c r="B237" s="11" t="s">
        <v>15</v>
      </c>
      <c r="C237" s="26" t="s">
        <v>84</v>
      </c>
      <c r="D237" s="12">
        <v>46052</v>
      </c>
      <c r="E237" s="4">
        <v>775840</v>
      </c>
      <c r="F237" s="30" t="s">
        <v>3</v>
      </c>
      <c r="G237" s="12">
        <v>46105</v>
      </c>
      <c r="H237" s="11" t="s">
        <v>7</v>
      </c>
    </row>
    <row r="238" spans="1:9" x14ac:dyDescent="0.25">
      <c r="A238" s="11" t="s">
        <v>14</v>
      </c>
      <c r="B238" s="11" t="s">
        <v>15</v>
      </c>
      <c r="C238" s="26" t="s">
        <v>85</v>
      </c>
      <c r="D238" s="12">
        <v>46052</v>
      </c>
      <c r="E238" s="4">
        <v>136300</v>
      </c>
      <c r="F238" s="30" t="s">
        <v>3</v>
      </c>
      <c r="G238" s="12">
        <v>46105</v>
      </c>
      <c r="H238" s="11" t="s">
        <v>7</v>
      </c>
    </row>
    <row r="239" spans="1:9" hidden="1" x14ac:dyDescent="0.25">
      <c r="A239" s="11" t="s">
        <v>39</v>
      </c>
      <c r="B239" s="11" t="s">
        <v>15</v>
      </c>
      <c r="C239" s="11">
        <v>431346</v>
      </c>
      <c r="D239" s="12">
        <v>46056</v>
      </c>
      <c r="E239" s="4">
        <v>220442</v>
      </c>
      <c r="F239" s="11" t="s">
        <v>2</v>
      </c>
      <c r="G239" s="12">
        <v>46052</v>
      </c>
      <c r="H239" s="11" t="s">
        <v>7</v>
      </c>
    </row>
    <row r="240" spans="1:9" hidden="1" x14ac:dyDescent="0.25">
      <c r="A240" s="11" t="s">
        <v>32</v>
      </c>
      <c r="B240" s="11" t="s">
        <v>15</v>
      </c>
      <c r="C240" s="11">
        <v>1949</v>
      </c>
      <c r="D240" s="12">
        <v>46057</v>
      </c>
      <c r="E240" s="4">
        <v>417317</v>
      </c>
      <c r="F240" s="11" t="s">
        <v>2</v>
      </c>
      <c r="G240" s="12">
        <v>46068</v>
      </c>
      <c r="H240" s="11" t="s">
        <v>7</v>
      </c>
    </row>
    <row r="241" spans="1:8" hidden="1" x14ac:dyDescent="0.25">
      <c r="A241" s="11" t="s">
        <v>32</v>
      </c>
      <c r="B241" s="11" t="s">
        <v>15</v>
      </c>
      <c r="C241" s="11">
        <v>1954</v>
      </c>
      <c r="D241" s="12">
        <v>46057</v>
      </c>
      <c r="E241" s="4">
        <v>103245</v>
      </c>
      <c r="F241" s="11" t="s">
        <v>2</v>
      </c>
      <c r="G241" s="12">
        <v>46081</v>
      </c>
      <c r="H241" s="11" t="s">
        <v>7</v>
      </c>
    </row>
    <row r="242" spans="1:8" hidden="1" x14ac:dyDescent="0.25">
      <c r="A242" s="11" t="s">
        <v>40</v>
      </c>
      <c r="B242" s="11" t="s">
        <v>41</v>
      </c>
      <c r="C242" s="11" t="s">
        <v>86</v>
      </c>
      <c r="D242" s="12">
        <v>46058</v>
      </c>
      <c r="E242" s="4">
        <v>3000000</v>
      </c>
      <c r="F242" s="11" t="s">
        <v>2</v>
      </c>
      <c r="G242" s="12">
        <v>46096</v>
      </c>
      <c r="H242" s="11" t="s">
        <v>6</v>
      </c>
    </row>
    <row r="243" spans="1:8" x14ac:dyDescent="0.25">
      <c r="A243" s="11" t="s">
        <v>14</v>
      </c>
      <c r="B243" s="11" t="s">
        <v>15</v>
      </c>
      <c r="C243" s="26" t="s">
        <v>87</v>
      </c>
      <c r="D243" s="12">
        <v>46058</v>
      </c>
      <c r="E243" s="4">
        <v>1143700</v>
      </c>
      <c r="F243" s="29" t="s">
        <v>2</v>
      </c>
      <c r="G243" s="12">
        <v>46105</v>
      </c>
      <c r="H243" s="11" t="s">
        <v>7</v>
      </c>
    </row>
    <row r="244" spans="1:8" x14ac:dyDescent="0.25">
      <c r="A244" s="11" t="s">
        <v>14</v>
      </c>
      <c r="B244" s="11" t="s">
        <v>15</v>
      </c>
      <c r="C244" s="26" t="s">
        <v>88</v>
      </c>
      <c r="D244" s="12">
        <v>46058</v>
      </c>
      <c r="E244" s="4">
        <v>39900</v>
      </c>
      <c r="F244" s="29" t="s">
        <v>2</v>
      </c>
      <c r="G244" s="12">
        <v>46105</v>
      </c>
      <c r="H244" s="11" t="s">
        <v>7</v>
      </c>
    </row>
    <row r="245" spans="1:8" hidden="1" x14ac:dyDescent="0.25">
      <c r="A245" s="11" t="s">
        <v>130</v>
      </c>
      <c r="B245" s="11" t="s">
        <v>123</v>
      </c>
      <c r="C245" s="11" t="s">
        <v>121</v>
      </c>
      <c r="D245" s="12">
        <v>46059</v>
      </c>
      <c r="E245" s="4">
        <v>421200</v>
      </c>
      <c r="F245" s="11" t="s">
        <v>3</v>
      </c>
      <c r="G245" s="12">
        <v>46065</v>
      </c>
      <c r="H245" s="11" t="s">
        <v>7</v>
      </c>
    </row>
    <row r="246" spans="1:8" hidden="1" x14ac:dyDescent="0.25">
      <c r="A246" s="11" t="s">
        <v>116</v>
      </c>
      <c r="B246" s="11" t="s">
        <v>123</v>
      </c>
      <c r="C246" s="11" t="s">
        <v>135</v>
      </c>
      <c r="D246" s="12">
        <v>46059</v>
      </c>
      <c r="E246" s="4">
        <v>570588</v>
      </c>
      <c r="F246" s="11" t="s">
        <v>2</v>
      </c>
      <c r="G246" s="12">
        <v>46100</v>
      </c>
      <c r="H246" s="11" t="s">
        <v>7</v>
      </c>
    </row>
    <row r="247" spans="1:8" hidden="1" x14ac:dyDescent="0.25">
      <c r="A247" s="11" t="s">
        <v>129</v>
      </c>
      <c r="B247" s="11" t="s">
        <v>123</v>
      </c>
      <c r="C247" s="11" t="s">
        <v>128</v>
      </c>
      <c r="D247" s="12">
        <v>46059</v>
      </c>
      <c r="E247" s="4">
        <v>983535</v>
      </c>
      <c r="F247" s="11" t="s">
        <v>3</v>
      </c>
      <c r="G247" s="12">
        <v>46065</v>
      </c>
      <c r="H247" s="11"/>
    </row>
    <row r="248" spans="1:8" hidden="1" x14ac:dyDescent="0.25">
      <c r="A248" s="11" t="s">
        <v>116</v>
      </c>
      <c r="B248" s="11" t="s">
        <v>123</v>
      </c>
      <c r="C248" s="11" t="s">
        <v>131</v>
      </c>
      <c r="D248" s="12">
        <v>46059</v>
      </c>
      <c r="E248" s="4">
        <v>914652</v>
      </c>
      <c r="F248" s="11" t="s">
        <v>3</v>
      </c>
      <c r="G248" s="12">
        <v>46065</v>
      </c>
      <c r="H248" s="11"/>
    </row>
    <row r="249" spans="1:8" hidden="1" x14ac:dyDescent="0.25">
      <c r="A249" s="11" t="s">
        <v>130</v>
      </c>
      <c r="B249" s="11" t="s">
        <v>124</v>
      </c>
      <c r="C249" s="11" t="s">
        <v>122</v>
      </c>
      <c r="D249" s="12">
        <v>46060</v>
      </c>
      <c r="E249" s="4">
        <v>600780</v>
      </c>
      <c r="F249" s="11" t="s">
        <v>3</v>
      </c>
      <c r="G249" s="12">
        <v>46065</v>
      </c>
      <c r="H249" s="11" t="s">
        <v>7</v>
      </c>
    </row>
    <row r="250" spans="1:8" hidden="1" x14ac:dyDescent="0.25">
      <c r="A250" s="11" t="s">
        <v>30</v>
      </c>
      <c r="B250" s="11" t="s">
        <v>31</v>
      </c>
      <c r="C250" s="11" t="s">
        <v>86</v>
      </c>
      <c r="D250" s="12">
        <v>46060</v>
      </c>
      <c r="E250" s="4">
        <v>2229780</v>
      </c>
      <c r="F250" s="11" t="s">
        <v>2</v>
      </c>
      <c r="G250" s="12">
        <v>46062</v>
      </c>
      <c r="H250" s="11" t="s">
        <v>6</v>
      </c>
    </row>
    <row r="251" spans="1:8" x14ac:dyDescent="0.25">
      <c r="A251" s="11" t="s">
        <v>14</v>
      </c>
      <c r="B251" s="11" t="s">
        <v>142</v>
      </c>
      <c r="C251" s="11" t="s">
        <v>124</v>
      </c>
      <c r="D251" s="12">
        <v>46060</v>
      </c>
      <c r="E251" s="4">
        <v>1550880</v>
      </c>
      <c r="F251" s="11" t="s">
        <v>2</v>
      </c>
      <c r="G251" s="12">
        <v>46113</v>
      </c>
      <c r="H251" s="11" t="s">
        <v>7</v>
      </c>
    </row>
    <row r="252" spans="1:8" x14ac:dyDescent="0.25">
      <c r="A252" s="11" t="s">
        <v>14</v>
      </c>
      <c r="B252" s="11" t="s">
        <v>142</v>
      </c>
      <c r="C252" s="11" t="s">
        <v>124</v>
      </c>
      <c r="D252" s="12">
        <v>46060</v>
      </c>
      <c r="E252" s="4">
        <v>1985550</v>
      </c>
      <c r="F252" s="11" t="s">
        <v>2</v>
      </c>
      <c r="G252" s="12">
        <v>46113</v>
      </c>
      <c r="H252" s="11" t="s">
        <v>7</v>
      </c>
    </row>
    <row r="253" spans="1:8" x14ac:dyDescent="0.25">
      <c r="A253" s="11" t="s">
        <v>14</v>
      </c>
      <c r="B253" s="11" t="s">
        <v>15</v>
      </c>
      <c r="C253" s="26" t="s">
        <v>89</v>
      </c>
      <c r="D253" s="12">
        <v>46060</v>
      </c>
      <c r="E253" s="4">
        <v>503900</v>
      </c>
      <c r="F253" s="11" t="s">
        <v>2</v>
      </c>
      <c r="G253" s="12">
        <v>46102</v>
      </c>
      <c r="H253" s="11" t="s">
        <v>7</v>
      </c>
    </row>
    <row r="254" spans="1:8" x14ac:dyDescent="0.25">
      <c r="A254" s="11" t="s">
        <v>14</v>
      </c>
      <c r="B254" s="11" t="s">
        <v>142</v>
      </c>
      <c r="C254" s="11" t="s">
        <v>124</v>
      </c>
      <c r="D254" s="12">
        <v>46060</v>
      </c>
      <c r="E254" s="4">
        <v>1021900</v>
      </c>
      <c r="F254" s="11"/>
      <c r="G254" s="11"/>
      <c r="H254" s="11" t="s">
        <v>7</v>
      </c>
    </row>
    <row r="255" spans="1:8" x14ac:dyDescent="0.25">
      <c r="A255" s="11" t="s">
        <v>14</v>
      </c>
      <c r="B255" s="11" t="s">
        <v>15</v>
      </c>
      <c r="C255" s="26" t="s">
        <v>92</v>
      </c>
      <c r="D255" s="12">
        <v>46061</v>
      </c>
      <c r="E255" s="4">
        <v>517870</v>
      </c>
      <c r="F255" s="11" t="s">
        <v>2</v>
      </c>
      <c r="G255" s="12">
        <v>46102</v>
      </c>
      <c r="H255" s="11" t="s">
        <v>7</v>
      </c>
    </row>
    <row r="256" spans="1:8" hidden="1" x14ac:dyDescent="0.25">
      <c r="A256" s="11" t="s">
        <v>27</v>
      </c>
      <c r="B256" s="11" t="s">
        <v>28</v>
      </c>
      <c r="C256" s="11" t="s">
        <v>86</v>
      </c>
      <c r="D256" s="12">
        <v>46063</v>
      </c>
      <c r="E256" s="4">
        <v>100000</v>
      </c>
      <c r="F256" s="11" t="s">
        <v>2</v>
      </c>
      <c r="G256" s="12">
        <v>46062</v>
      </c>
      <c r="H256" s="11" t="s">
        <v>6</v>
      </c>
    </row>
    <row r="257" spans="1:9" hidden="1" x14ac:dyDescent="0.25">
      <c r="A257" s="11" t="s">
        <v>26</v>
      </c>
      <c r="B257" s="11">
        <v>894509</v>
      </c>
      <c r="C257" s="11" t="s">
        <v>86</v>
      </c>
      <c r="D257" s="12">
        <v>46065</v>
      </c>
      <c r="E257" s="4">
        <v>296240</v>
      </c>
      <c r="F257" s="11" t="s">
        <v>3</v>
      </c>
      <c r="G257" s="12">
        <v>46069</v>
      </c>
      <c r="H257" s="11" t="s">
        <v>6</v>
      </c>
    </row>
    <row r="258" spans="1:9" x14ac:dyDescent="0.25">
      <c r="A258" s="11" t="s">
        <v>14</v>
      </c>
      <c r="B258" s="11" t="s">
        <v>15</v>
      </c>
      <c r="C258" s="26" t="s">
        <v>93</v>
      </c>
      <c r="D258" s="12">
        <v>46065</v>
      </c>
      <c r="E258" s="4">
        <v>987500</v>
      </c>
      <c r="F258" s="11" t="s">
        <v>2</v>
      </c>
      <c r="G258" s="12">
        <v>46102</v>
      </c>
      <c r="H258" s="11" t="s">
        <v>7</v>
      </c>
    </row>
    <row r="259" spans="1:9" x14ac:dyDescent="0.25">
      <c r="A259" s="11" t="s">
        <v>14</v>
      </c>
      <c r="B259" s="11" t="s">
        <v>15</v>
      </c>
      <c r="C259" s="26" t="s">
        <v>94</v>
      </c>
      <c r="D259" s="12">
        <v>46067</v>
      </c>
      <c r="E259" s="4">
        <v>1038100</v>
      </c>
      <c r="F259" s="11" t="s">
        <v>2</v>
      </c>
      <c r="G259" s="12">
        <v>46102</v>
      </c>
      <c r="H259" s="11" t="s">
        <v>7</v>
      </c>
    </row>
    <row r="260" spans="1:9" x14ac:dyDescent="0.25">
      <c r="A260" s="11" t="s">
        <v>14</v>
      </c>
      <c r="B260" s="11" t="s">
        <v>15</v>
      </c>
      <c r="C260" s="26" t="s">
        <v>95</v>
      </c>
      <c r="D260" s="12">
        <v>46067</v>
      </c>
      <c r="E260" s="4">
        <f>587500-12416</f>
        <v>575084</v>
      </c>
      <c r="F260" s="11" t="s">
        <v>2</v>
      </c>
      <c r="G260" s="12">
        <v>46130</v>
      </c>
      <c r="H260" s="11" t="s">
        <v>7</v>
      </c>
    </row>
    <row r="261" spans="1:9" hidden="1" x14ac:dyDescent="0.25">
      <c r="A261" s="11" t="s">
        <v>35</v>
      </c>
      <c r="B261" s="11" t="s">
        <v>36</v>
      </c>
      <c r="C261" s="11" t="s">
        <v>86</v>
      </c>
      <c r="D261" s="12">
        <v>46068</v>
      </c>
      <c r="E261" s="4">
        <v>119400</v>
      </c>
      <c r="F261" s="11" t="s">
        <v>2</v>
      </c>
      <c r="G261" s="12">
        <v>46071</v>
      </c>
      <c r="H261" s="11" t="s">
        <v>6</v>
      </c>
    </row>
    <row r="262" spans="1:9" hidden="1" x14ac:dyDescent="0.25">
      <c r="A262" s="11" t="s">
        <v>0</v>
      </c>
      <c r="B262" s="11" t="s">
        <v>34</v>
      </c>
      <c r="C262" s="11" t="s">
        <v>86</v>
      </c>
      <c r="D262" s="12">
        <v>46068</v>
      </c>
      <c r="E262" s="4">
        <v>1500000</v>
      </c>
      <c r="F262" s="11" t="s">
        <v>2</v>
      </c>
      <c r="G262" s="12">
        <v>46071</v>
      </c>
      <c r="H262" s="11" t="s">
        <v>6</v>
      </c>
      <c r="I262" s="1"/>
    </row>
    <row r="263" spans="1:9" hidden="1" x14ac:dyDescent="0.25">
      <c r="A263" s="11" t="s">
        <v>1</v>
      </c>
      <c r="B263" s="11" t="s">
        <v>34</v>
      </c>
      <c r="C263" s="11" t="s">
        <v>86</v>
      </c>
      <c r="D263" s="12">
        <v>46068</v>
      </c>
      <c r="E263" s="4">
        <v>1500000</v>
      </c>
      <c r="F263" s="11" t="s">
        <v>2</v>
      </c>
      <c r="G263" s="12">
        <v>46071</v>
      </c>
      <c r="H263" s="11" t="s">
        <v>6</v>
      </c>
    </row>
    <row r="264" spans="1:9" hidden="1" x14ac:dyDescent="0.25">
      <c r="A264" s="11" t="s">
        <v>112</v>
      </c>
      <c r="B264" s="11" t="s">
        <v>34</v>
      </c>
      <c r="C264" s="11" t="s">
        <v>86</v>
      </c>
      <c r="D264" s="12">
        <v>46068</v>
      </c>
      <c r="E264" s="4">
        <v>200000</v>
      </c>
      <c r="F264" s="11" t="s">
        <v>3</v>
      </c>
      <c r="G264" s="12">
        <v>46068</v>
      </c>
      <c r="H264" s="11" t="s">
        <v>119</v>
      </c>
    </row>
    <row r="265" spans="1:9" hidden="1" x14ac:dyDescent="0.25">
      <c r="A265" s="11" t="s">
        <v>111</v>
      </c>
      <c r="B265" s="11" t="s">
        <v>34</v>
      </c>
      <c r="C265" s="11" t="s">
        <v>86</v>
      </c>
      <c r="D265" s="12">
        <v>46068</v>
      </c>
      <c r="E265" s="4">
        <v>200000</v>
      </c>
      <c r="F265" s="11" t="s">
        <v>3</v>
      </c>
      <c r="G265" s="12">
        <v>46068</v>
      </c>
      <c r="H265" s="11" t="s">
        <v>119</v>
      </c>
    </row>
    <row r="266" spans="1:9" hidden="1" x14ac:dyDescent="0.25">
      <c r="A266" s="11" t="s">
        <v>118</v>
      </c>
      <c r="B266" s="11" t="s">
        <v>130</v>
      </c>
      <c r="C266" s="11" t="s">
        <v>86</v>
      </c>
      <c r="D266" s="12">
        <v>46068</v>
      </c>
      <c r="E266" s="4">
        <v>500000</v>
      </c>
      <c r="F266" s="11" t="s">
        <v>3</v>
      </c>
      <c r="G266" s="12">
        <v>46068</v>
      </c>
      <c r="H266" s="11" t="s">
        <v>119</v>
      </c>
    </row>
    <row r="267" spans="1:9" x14ac:dyDescent="0.25">
      <c r="A267" s="11" t="s">
        <v>14</v>
      </c>
      <c r="B267" s="11" t="s">
        <v>15</v>
      </c>
      <c r="C267" s="26" t="s">
        <v>96</v>
      </c>
      <c r="D267" s="12">
        <v>46071</v>
      </c>
      <c r="E267" s="4">
        <v>857850</v>
      </c>
      <c r="F267" s="11" t="s">
        <v>2</v>
      </c>
      <c r="G267" s="12">
        <v>46130</v>
      </c>
      <c r="H267" s="11" t="s">
        <v>7</v>
      </c>
    </row>
    <row r="268" spans="1:9" x14ac:dyDescent="0.25">
      <c r="A268" s="11" t="s">
        <v>14</v>
      </c>
      <c r="B268" s="11" t="s">
        <v>15</v>
      </c>
      <c r="C268" s="26" t="s">
        <v>97</v>
      </c>
      <c r="D268" s="12">
        <v>46074</v>
      </c>
      <c r="E268" s="4">
        <v>1091000</v>
      </c>
      <c r="F268" s="11" t="s">
        <v>2</v>
      </c>
      <c r="G268" s="12">
        <v>46133</v>
      </c>
      <c r="H268" s="11" t="s">
        <v>7</v>
      </c>
    </row>
    <row r="269" spans="1:9" x14ac:dyDescent="0.25">
      <c r="A269" s="11" t="s">
        <v>14</v>
      </c>
      <c r="B269" s="11" t="s">
        <v>15</v>
      </c>
      <c r="C269" s="26" t="s">
        <v>98</v>
      </c>
      <c r="D269" s="12">
        <v>46074</v>
      </c>
      <c r="E269" s="4">
        <v>65800</v>
      </c>
      <c r="F269" s="11" t="s">
        <v>3</v>
      </c>
      <c r="G269" s="12">
        <v>46134</v>
      </c>
      <c r="H269" s="11" t="s">
        <v>7</v>
      </c>
    </row>
    <row r="270" spans="1:9" x14ac:dyDescent="0.25">
      <c r="A270" s="11" t="s">
        <v>14</v>
      </c>
      <c r="B270" s="11" t="s">
        <v>15</v>
      </c>
      <c r="C270" s="26" t="s">
        <v>99</v>
      </c>
      <c r="D270" s="12">
        <v>46075</v>
      </c>
      <c r="E270" s="4">
        <v>294800</v>
      </c>
      <c r="F270" s="11" t="s">
        <v>3</v>
      </c>
      <c r="G270" s="12">
        <v>46134</v>
      </c>
      <c r="H270" s="11" t="s">
        <v>7</v>
      </c>
    </row>
    <row r="271" spans="1:9" hidden="1" x14ac:dyDescent="0.25">
      <c r="A271" s="11" t="s">
        <v>29</v>
      </c>
      <c r="B271" s="11" t="s">
        <v>15</v>
      </c>
      <c r="C271" s="11">
        <v>382790</v>
      </c>
      <c r="D271" s="12">
        <v>46076</v>
      </c>
      <c r="E271" s="27">
        <f>(432417*0.88)+82158</f>
        <v>462684.96</v>
      </c>
      <c r="F271" s="11" t="s">
        <v>2</v>
      </c>
      <c r="G271" s="12">
        <v>46079</v>
      </c>
      <c r="H271" s="11" t="s">
        <v>7</v>
      </c>
    </row>
    <row r="272" spans="1:9" hidden="1" x14ac:dyDescent="0.25">
      <c r="A272" s="11" t="s">
        <v>29</v>
      </c>
      <c r="B272" s="11" t="s">
        <v>15</v>
      </c>
      <c r="C272" s="11">
        <v>382886</v>
      </c>
      <c r="D272" s="12">
        <v>46076</v>
      </c>
      <c r="E272" s="4">
        <v>736375</v>
      </c>
      <c r="F272" s="11" t="s">
        <v>2</v>
      </c>
      <c r="G272" s="12">
        <v>46079</v>
      </c>
      <c r="H272" s="11" t="s">
        <v>7</v>
      </c>
    </row>
    <row r="273" spans="1:8" x14ac:dyDescent="0.25">
      <c r="A273" s="11" t="s">
        <v>14</v>
      </c>
      <c r="B273" s="11" t="s">
        <v>15</v>
      </c>
      <c r="C273" s="26" t="s">
        <v>100</v>
      </c>
      <c r="D273" s="12">
        <v>46076</v>
      </c>
      <c r="E273" s="4">
        <v>550400</v>
      </c>
      <c r="F273" s="11" t="s">
        <v>3</v>
      </c>
      <c r="G273" s="12">
        <v>46134</v>
      </c>
      <c r="H273" s="11" t="s">
        <v>7</v>
      </c>
    </row>
    <row r="274" spans="1:8" x14ac:dyDescent="0.25">
      <c r="A274" s="11" t="s">
        <v>14</v>
      </c>
      <c r="B274" s="11" t="s">
        <v>15</v>
      </c>
      <c r="C274" s="26" t="s">
        <v>102</v>
      </c>
      <c r="D274" s="12">
        <v>46078</v>
      </c>
      <c r="E274" s="4">
        <v>740050</v>
      </c>
      <c r="F274" s="11" t="s">
        <v>3</v>
      </c>
      <c r="G274" s="12">
        <v>46135</v>
      </c>
      <c r="H274" s="11" t="s">
        <v>7</v>
      </c>
    </row>
    <row r="275" spans="1:8" x14ac:dyDescent="0.25">
      <c r="A275" s="11" t="s">
        <v>14</v>
      </c>
      <c r="B275" s="11" t="s">
        <v>15</v>
      </c>
      <c r="C275" s="26" t="s">
        <v>101</v>
      </c>
      <c r="D275" s="12">
        <v>46079</v>
      </c>
      <c r="E275" s="4">
        <v>158000</v>
      </c>
      <c r="F275" s="11" t="s">
        <v>2</v>
      </c>
      <c r="G275" s="12">
        <v>46102</v>
      </c>
      <c r="H275" s="11" t="s">
        <v>7</v>
      </c>
    </row>
    <row r="276" spans="1:8" x14ac:dyDescent="0.25">
      <c r="A276" s="11" t="s">
        <v>14</v>
      </c>
      <c r="B276" s="11" t="s">
        <v>15</v>
      </c>
      <c r="C276" s="26" t="s">
        <v>103</v>
      </c>
      <c r="D276" s="12">
        <v>46079</v>
      </c>
      <c r="E276" s="4">
        <v>458100</v>
      </c>
      <c r="F276" s="11" t="s">
        <v>3</v>
      </c>
      <c r="G276" s="12">
        <v>46135</v>
      </c>
      <c r="H276" s="11" t="s">
        <v>7</v>
      </c>
    </row>
    <row r="277" spans="1:8" x14ac:dyDescent="0.25">
      <c r="A277" s="11" t="s">
        <v>14</v>
      </c>
      <c r="B277" s="11" t="s">
        <v>15</v>
      </c>
      <c r="C277" s="26" t="s">
        <v>160</v>
      </c>
      <c r="D277" s="12">
        <v>46080</v>
      </c>
      <c r="E277" s="4">
        <v>391214</v>
      </c>
      <c r="F277" s="11" t="s">
        <v>2</v>
      </c>
      <c r="G277" s="12">
        <v>46102</v>
      </c>
      <c r="H277" s="11" t="s">
        <v>7</v>
      </c>
    </row>
    <row r="278" spans="1:8" hidden="1" x14ac:dyDescent="0.25">
      <c r="A278" s="11" t="s">
        <v>116</v>
      </c>
      <c r="B278" s="11" t="s">
        <v>142</v>
      </c>
      <c r="C278" s="11" t="s">
        <v>124</v>
      </c>
      <c r="D278" s="12">
        <v>46081</v>
      </c>
      <c r="E278" s="4">
        <f>900000/3</f>
        <v>300000</v>
      </c>
      <c r="F278" s="11" t="s">
        <v>2</v>
      </c>
      <c r="G278" s="12">
        <v>46107</v>
      </c>
      <c r="H278" s="11" t="s">
        <v>7</v>
      </c>
    </row>
    <row r="279" spans="1:8" hidden="1" x14ac:dyDescent="0.25">
      <c r="A279" s="11" t="s">
        <v>129</v>
      </c>
      <c r="B279" s="11" t="s">
        <v>142</v>
      </c>
      <c r="C279" s="11" t="s">
        <v>124</v>
      </c>
      <c r="D279" s="12">
        <v>46081</v>
      </c>
      <c r="E279" s="4">
        <f>500000</f>
        <v>500000</v>
      </c>
      <c r="F279" s="11" t="s">
        <v>2</v>
      </c>
      <c r="G279" s="12">
        <v>46086</v>
      </c>
      <c r="H279" s="11" t="s">
        <v>7</v>
      </c>
    </row>
    <row r="280" spans="1:8" hidden="1" x14ac:dyDescent="0.25">
      <c r="A280" s="11" t="s">
        <v>130</v>
      </c>
      <c r="B280" s="11" t="s">
        <v>142</v>
      </c>
      <c r="C280" s="11" t="s">
        <v>124</v>
      </c>
      <c r="D280" s="12">
        <v>46081</v>
      </c>
      <c r="E280" s="4">
        <f>500000</f>
        <v>500000</v>
      </c>
      <c r="F280" s="11" t="s">
        <v>2</v>
      </c>
      <c r="G280" s="12">
        <v>46086</v>
      </c>
      <c r="H280" s="11" t="s">
        <v>7</v>
      </c>
    </row>
    <row r="281" spans="1:8" hidden="1" x14ac:dyDescent="0.25">
      <c r="A281" s="11" t="s">
        <v>0</v>
      </c>
      <c r="B281" s="11" t="s">
        <v>34</v>
      </c>
      <c r="C281" s="11" t="s">
        <v>86</v>
      </c>
      <c r="D281" s="12">
        <v>46081</v>
      </c>
      <c r="E281" s="4">
        <v>1500000</v>
      </c>
      <c r="F281" s="11" t="s">
        <v>3</v>
      </c>
      <c r="G281" s="12">
        <v>46081</v>
      </c>
      <c r="H281" s="11" t="s">
        <v>119</v>
      </c>
    </row>
    <row r="282" spans="1:8" hidden="1" x14ac:dyDescent="0.25">
      <c r="A282" s="11" t="s">
        <v>1</v>
      </c>
      <c r="B282" s="11" t="s">
        <v>34</v>
      </c>
      <c r="C282" s="11" t="s">
        <v>86</v>
      </c>
      <c r="D282" s="12">
        <v>46081</v>
      </c>
      <c r="E282" s="4">
        <v>1500000</v>
      </c>
      <c r="F282" s="11" t="s">
        <v>3</v>
      </c>
      <c r="G282" s="12">
        <v>46081</v>
      </c>
      <c r="H282" s="11" t="s">
        <v>119</v>
      </c>
    </row>
    <row r="283" spans="1:8" hidden="1" x14ac:dyDescent="0.25">
      <c r="A283" s="11" t="s">
        <v>111</v>
      </c>
      <c r="B283" s="11" t="s">
        <v>34</v>
      </c>
      <c r="C283" s="11" t="s">
        <v>86</v>
      </c>
      <c r="D283" s="12">
        <v>46081</v>
      </c>
      <c r="E283" s="4">
        <v>150000</v>
      </c>
      <c r="F283" s="11" t="s">
        <v>3</v>
      </c>
      <c r="G283" s="12">
        <v>46081</v>
      </c>
      <c r="H283" s="11" t="s">
        <v>119</v>
      </c>
    </row>
    <row r="284" spans="1:8" hidden="1" x14ac:dyDescent="0.25">
      <c r="A284" s="11" t="s">
        <v>112</v>
      </c>
      <c r="B284" s="11" t="s">
        <v>34</v>
      </c>
      <c r="C284" s="11" t="s">
        <v>86</v>
      </c>
      <c r="D284" s="12">
        <v>46081</v>
      </c>
      <c r="E284" s="4">
        <v>200000</v>
      </c>
      <c r="F284" s="11" t="s">
        <v>3</v>
      </c>
      <c r="G284" s="12">
        <v>46081</v>
      </c>
      <c r="H284" s="11" t="s">
        <v>119</v>
      </c>
    </row>
    <row r="285" spans="1:8" hidden="1" x14ac:dyDescent="0.25">
      <c r="A285" s="11" t="s">
        <v>118</v>
      </c>
      <c r="B285" s="11" t="s">
        <v>130</v>
      </c>
      <c r="C285" s="11" t="s">
        <v>86</v>
      </c>
      <c r="D285" s="12">
        <v>46081</v>
      </c>
      <c r="E285" s="4">
        <v>500000</v>
      </c>
      <c r="F285" s="31" t="s">
        <v>3</v>
      </c>
      <c r="G285" s="12">
        <v>46081</v>
      </c>
      <c r="H285" s="11" t="s">
        <v>119</v>
      </c>
    </row>
    <row r="286" spans="1:8" x14ac:dyDescent="0.25">
      <c r="A286" s="11" t="s">
        <v>14</v>
      </c>
      <c r="B286" s="11" t="s">
        <v>15</v>
      </c>
      <c r="C286" s="26" t="s">
        <v>105</v>
      </c>
      <c r="D286" s="12">
        <v>46081</v>
      </c>
      <c r="E286" s="4">
        <v>708400</v>
      </c>
      <c r="F286" s="11" t="s">
        <v>2</v>
      </c>
      <c r="G286" s="12">
        <v>46136</v>
      </c>
      <c r="H286" s="11" t="s">
        <v>7</v>
      </c>
    </row>
    <row r="287" spans="1:8" hidden="1" x14ac:dyDescent="0.25">
      <c r="A287" s="11" t="s">
        <v>32</v>
      </c>
      <c r="B287" s="11" t="s">
        <v>15</v>
      </c>
      <c r="C287" s="11">
        <v>3878</v>
      </c>
      <c r="D287" s="12">
        <v>46083</v>
      </c>
      <c r="E287" s="4">
        <v>551438</v>
      </c>
      <c r="F287" s="11" t="s">
        <v>2</v>
      </c>
      <c r="G287" s="12">
        <v>46085</v>
      </c>
      <c r="H287" s="11" t="s">
        <v>7</v>
      </c>
    </row>
    <row r="288" spans="1:8" x14ac:dyDescent="0.25">
      <c r="A288" s="11" t="s">
        <v>14</v>
      </c>
      <c r="B288" s="11" t="s">
        <v>15</v>
      </c>
      <c r="C288" s="26" t="s">
        <v>108</v>
      </c>
      <c r="D288" s="12">
        <v>46083</v>
      </c>
      <c r="E288" s="4">
        <v>513350</v>
      </c>
      <c r="F288" s="11" t="s">
        <v>2</v>
      </c>
      <c r="G288" s="12">
        <v>46136</v>
      </c>
      <c r="H288" s="11" t="s">
        <v>7</v>
      </c>
    </row>
    <row r="289" spans="1:8" x14ac:dyDescent="0.25">
      <c r="A289" s="11" t="s">
        <v>14</v>
      </c>
      <c r="B289" s="11" t="s">
        <v>15</v>
      </c>
      <c r="C289" s="26" t="s">
        <v>109</v>
      </c>
      <c r="D289" s="12">
        <v>46085</v>
      </c>
      <c r="E289" s="4">
        <v>909400</v>
      </c>
      <c r="F289" s="11" t="s">
        <v>2</v>
      </c>
      <c r="G289" s="12">
        <v>46140</v>
      </c>
      <c r="H289" s="11" t="s">
        <v>7</v>
      </c>
    </row>
    <row r="290" spans="1:8" hidden="1" x14ac:dyDescent="0.25">
      <c r="A290" s="11" t="s">
        <v>40</v>
      </c>
      <c r="B290" s="11" t="s">
        <v>41</v>
      </c>
      <c r="C290" s="11" t="s">
        <v>91</v>
      </c>
      <c r="D290" s="12">
        <v>46086</v>
      </c>
      <c r="E290" s="4">
        <v>3000000</v>
      </c>
      <c r="F290" s="11" t="s">
        <v>2</v>
      </c>
      <c r="G290" s="12">
        <v>46086</v>
      </c>
      <c r="H290" s="11" t="s">
        <v>6</v>
      </c>
    </row>
    <row r="291" spans="1:8" x14ac:dyDescent="0.25">
      <c r="A291" s="11" t="s">
        <v>14</v>
      </c>
      <c r="B291" s="11" t="s">
        <v>15</v>
      </c>
      <c r="C291" s="26" t="s">
        <v>107</v>
      </c>
      <c r="D291" s="12">
        <v>46087</v>
      </c>
      <c r="E291" s="4">
        <v>163900</v>
      </c>
      <c r="F291" s="11" t="s">
        <v>2</v>
      </c>
      <c r="G291" s="12">
        <v>46140</v>
      </c>
      <c r="H291" s="11" t="s">
        <v>7</v>
      </c>
    </row>
    <row r="292" spans="1:8" x14ac:dyDescent="0.25">
      <c r="A292" s="11" t="s">
        <v>14</v>
      </c>
      <c r="B292" s="11" t="s">
        <v>15</v>
      </c>
      <c r="C292" s="26" t="s">
        <v>106</v>
      </c>
      <c r="D292" s="12">
        <v>46087</v>
      </c>
      <c r="E292" s="4">
        <v>923890</v>
      </c>
      <c r="F292" s="11" t="s">
        <v>2</v>
      </c>
      <c r="G292" s="12">
        <v>46140</v>
      </c>
      <c r="H292" s="11" t="s">
        <v>7</v>
      </c>
    </row>
    <row r="293" spans="1:8" x14ac:dyDescent="0.25">
      <c r="A293" s="11" t="s">
        <v>14</v>
      </c>
      <c r="B293" s="11" t="s">
        <v>15</v>
      </c>
      <c r="C293" s="26" t="s">
        <v>110</v>
      </c>
      <c r="D293" s="12">
        <v>46088</v>
      </c>
      <c r="E293" s="4">
        <v>820700</v>
      </c>
      <c r="F293" s="11" t="s">
        <v>3</v>
      </c>
      <c r="G293" s="12">
        <v>46140</v>
      </c>
      <c r="H293" s="11" t="s">
        <v>7</v>
      </c>
    </row>
    <row r="294" spans="1:8" x14ac:dyDescent="0.25">
      <c r="A294" s="11" t="s">
        <v>14</v>
      </c>
      <c r="B294" s="11" t="s">
        <v>15</v>
      </c>
      <c r="C294" s="26" t="s">
        <v>113</v>
      </c>
      <c r="D294" s="12">
        <v>46089</v>
      </c>
      <c r="E294" s="7">
        <v>1368595</v>
      </c>
      <c r="F294" s="11" t="s">
        <v>2</v>
      </c>
      <c r="G294" s="12">
        <v>46160</v>
      </c>
      <c r="H294" s="11" t="s">
        <v>7</v>
      </c>
    </row>
    <row r="295" spans="1:8" x14ac:dyDescent="0.25">
      <c r="A295" s="11" t="s">
        <v>14</v>
      </c>
      <c r="B295" s="11" t="s">
        <v>15</v>
      </c>
      <c r="C295" s="26" t="s">
        <v>114</v>
      </c>
      <c r="D295" s="12">
        <v>46090</v>
      </c>
      <c r="E295" s="7">
        <v>948150</v>
      </c>
      <c r="F295" s="11" t="s">
        <v>2</v>
      </c>
      <c r="G295" s="12">
        <v>46160</v>
      </c>
      <c r="H295" s="11" t="s">
        <v>7</v>
      </c>
    </row>
    <row r="296" spans="1:8" x14ac:dyDescent="0.25">
      <c r="A296" s="11" t="s">
        <v>14</v>
      </c>
      <c r="B296" s="11" t="s">
        <v>15</v>
      </c>
      <c r="C296" s="26" t="s">
        <v>115</v>
      </c>
      <c r="D296" s="12">
        <v>46090</v>
      </c>
      <c r="E296" s="7">
        <v>166000</v>
      </c>
      <c r="F296" s="11" t="s">
        <v>2</v>
      </c>
      <c r="G296" s="12">
        <v>46160</v>
      </c>
      <c r="H296" s="11" t="s">
        <v>7</v>
      </c>
    </row>
    <row r="297" spans="1:8" hidden="1" x14ac:dyDescent="0.25">
      <c r="A297" s="11" t="s">
        <v>27</v>
      </c>
      <c r="B297" s="11" t="s">
        <v>28</v>
      </c>
      <c r="C297" s="11" t="s">
        <v>91</v>
      </c>
      <c r="D297" s="12">
        <v>46091</v>
      </c>
      <c r="E297" s="4">
        <v>100000</v>
      </c>
      <c r="F297" s="11" t="s">
        <v>2</v>
      </c>
      <c r="G297" s="12">
        <v>46092</v>
      </c>
      <c r="H297" s="11" t="s">
        <v>6</v>
      </c>
    </row>
    <row r="298" spans="1:8" x14ac:dyDescent="0.25">
      <c r="A298" s="11" t="s">
        <v>14</v>
      </c>
      <c r="B298" s="11" t="s">
        <v>15</v>
      </c>
      <c r="C298" s="26" t="s">
        <v>125</v>
      </c>
      <c r="D298" s="12">
        <v>46092</v>
      </c>
      <c r="E298" s="7">
        <v>911250</v>
      </c>
      <c r="F298" s="11" t="s">
        <v>2</v>
      </c>
      <c r="G298" s="12">
        <v>46160</v>
      </c>
      <c r="H298" s="11" t="s">
        <v>7</v>
      </c>
    </row>
    <row r="299" spans="1:8" hidden="1" x14ac:dyDescent="0.25">
      <c r="A299" s="11" t="s">
        <v>26</v>
      </c>
      <c r="B299" s="11">
        <v>894509</v>
      </c>
      <c r="C299" s="11" t="s">
        <v>91</v>
      </c>
      <c r="D299" s="12">
        <v>46093</v>
      </c>
      <c r="E299" s="4">
        <v>274376</v>
      </c>
      <c r="F299" s="11" t="s">
        <v>2</v>
      </c>
      <c r="G299" s="12">
        <v>46097</v>
      </c>
      <c r="H299" s="11" t="s">
        <v>6</v>
      </c>
    </row>
    <row r="300" spans="1:8" hidden="1" x14ac:dyDescent="0.25">
      <c r="A300" s="11" t="s">
        <v>30</v>
      </c>
      <c r="B300" s="11" t="s">
        <v>31</v>
      </c>
      <c r="C300" s="11" t="s">
        <v>91</v>
      </c>
      <c r="D300" s="12">
        <v>46093</v>
      </c>
      <c r="E300" s="4">
        <v>2372100</v>
      </c>
      <c r="F300" s="11" t="s">
        <v>2</v>
      </c>
      <c r="G300" s="12">
        <v>46093</v>
      </c>
      <c r="H300" s="11" t="s">
        <v>6</v>
      </c>
    </row>
    <row r="301" spans="1:8" x14ac:dyDescent="0.25">
      <c r="A301" s="11" t="s">
        <v>14</v>
      </c>
      <c r="B301" s="11" t="s">
        <v>15</v>
      </c>
      <c r="C301" s="26" t="s">
        <v>126</v>
      </c>
      <c r="D301" s="12">
        <v>46093</v>
      </c>
      <c r="E301" s="7">
        <v>1077817</v>
      </c>
      <c r="F301" s="11" t="s">
        <v>2</v>
      </c>
      <c r="G301" s="12">
        <v>46160</v>
      </c>
      <c r="H301" s="11" t="s">
        <v>7</v>
      </c>
    </row>
    <row r="302" spans="1:8" hidden="1" x14ac:dyDescent="0.25">
      <c r="A302" s="11" t="s">
        <v>29</v>
      </c>
      <c r="B302" s="11" t="s">
        <v>15</v>
      </c>
      <c r="C302" s="11">
        <v>389690</v>
      </c>
      <c r="D302" s="12">
        <v>46094</v>
      </c>
      <c r="E302" s="27">
        <f>116753*0.88</f>
        <v>102742.64</v>
      </c>
      <c r="F302" s="11" t="s">
        <v>2</v>
      </c>
      <c r="G302" s="12">
        <v>46094</v>
      </c>
      <c r="H302" s="11" t="s">
        <v>7</v>
      </c>
    </row>
    <row r="303" spans="1:8" hidden="1" x14ac:dyDescent="0.25">
      <c r="A303" s="11" t="s">
        <v>29</v>
      </c>
      <c r="B303" s="11" t="s">
        <v>15</v>
      </c>
      <c r="C303" s="11">
        <v>389704</v>
      </c>
      <c r="D303" s="12">
        <v>46094</v>
      </c>
      <c r="E303" s="4">
        <v>42233</v>
      </c>
      <c r="F303" s="11" t="s">
        <v>2</v>
      </c>
      <c r="G303" s="12">
        <v>46094</v>
      </c>
      <c r="H303" s="11" t="s">
        <v>7</v>
      </c>
    </row>
    <row r="304" spans="1:8" hidden="1" x14ac:dyDescent="0.25">
      <c r="A304" s="11" t="s">
        <v>29</v>
      </c>
      <c r="B304" s="11" t="s">
        <v>15</v>
      </c>
      <c r="C304" s="11">
        <v>389769</v>
      </c>
      <c r="D304" s="12">
        <v>46095</v>
      </c>
      <c r="E304" s="4">
        <v>47900</v>
      </c>
      <c r="F304" s="11" t="s">
        <v>2</v>
      </c>
      <c r="G304" s="12">
        <v>46097</v>
      </c>
      <c r="H304" s="11" t="s">
        <v>7</v>
      </c>
    </row>
    <row r="305" spans="1:8" hidden="1" x14ac:dyDescent="0.25">
      <c r="A305" s="11" t="s">
        <v>29</v>
      </c>
      <c r="B305" s="11" t="s">
        <v>15</v>
      </c>
      <c r="C305" s="11">
        <v>389789</v>
      </c>
      <c r="D305" s="12">
        <v>46095</v>
      </c>
      <c r="E305" s="27">
        <f>174968*0.88</f>
        <v>153971.84</v>
      </c>
      <c r="F305" s="11" t="s">
        <v>2</v>
      </c>
      <c r="G305" s="12">
        <v>46097</v>
      </c>
      <c r="H305" s="11" t="s">
        <v>7</v>
      </c>
    </row>
    <row r="306" spans="1:8" x14ac:dyDescent="0.25">
      <c r="A306" s="11" t="s">
        <v>14</v>
      </c>
      <c r="B306" s="11" t="s">
        <v>15</v>
      </c>
      <c r="C306" s="26" t="s">
        <v>127</v>
      </c>
      <c r="D306" s="12">
        <v>46095</v>
      </c>
      <c r="E306" s="7">
        <v>767500</v>
      </c>
      <c r="F306" s="11" t="s">
        <v>2</v>
      </c>
      <c r="G306" s="12">
        <v>46160</v>
      </c>
      <c r="H306" s="11" t="s">
        <v>7</v>
      </c>
    </row>
    <row r="307" spans="1:8" hidden="1" x14ac:dyDescent="0.25">
      <c r="A307" s="11" t="s">
        <v>35</v>
      </c>
      <c r="B307" s="11" t="s">
        <v>36</v>
      </c>
      <c r="C307" s="11" t="s">
        <v>91</v>
      </c>
      <c r="D307" s="12">
        <v>46096</v>
      </c>
      <c r="E307" s="4">
        <v>119400</v>
      </c>
      <c r="F307" s="11" t="s">
        <v>2</v>
      </c>
      <c r="G307" s="12">
        <v>46097</v>
      </c>
      <c r="H307" s="11" t="s">
        <v>6</v>
      </c>
    </row>
    <row r="308" spans="1:8" hidden="1" x14ac:dyDescent="0.25">
      <c r="A308" s="11" t="s">
        <v>0</v>
      </c>
      <c r="B308" s="11" t="s">
        <v>34</v>
      </c>
      <c r="C308" s="11" t="s">
        <v>91</v>
      </c>
      <c r="D308" s="12">
        <v>46096</v>
      </c>
      <c r="E308" s="4">
        <v>1500000</v>
      </c>
      <c r="F308" s="11" t="s">
        <v>3</v>
      </c>
      <c r="G308" s="12">
        <v>46096</v>
      </c>
      <c r="H308" s="11" t="s">
        <v>119</v>
      </c>
    </row>
    <row r="309" spans="1:8" hidden="1" x14ac:dyDescent="0.25">
      <c r="A309" s="11" t="s">
        <v>1</v>
      </c>
      <c r="B309" s="11" t="s">
        <v>34</v>
      </c>
      <c r="C309" s="11" t="s">
        <v>91</v>
      </c>
      <c r="D309" s="12">
        <v>46096</v>
      </c>
      <c r="E309" s="4">
        <v>1500000</v>
      </c>
      <c r="F309" s="11" t="s">
        <v>3</v>
      </c>
      <c r="G309" s="12">
        <v>46096</v>
      </c>
      <c r="H309" s="11" t="s">
        <v>119</v>
      </c>
    </row>
    <row r="310" spans="1:8" hidden="1" x14ac:dyDescent="0.25">
      <c r="A310" s="11" t="s">
        <v>112</v>
      </c>
      <c r="B310" s="11" t="s">
        <v>34</v>
      </c>
      <c r="C310" s="11" t="s">
        <v>91</v>
      </c>
      <c r="D310" s="12">
        <v>46096</v>
      </c>
      <c r="E310" s="4">
        <v>150000</v>
      </c>
      <c r="F310" s="11" t="s">
        <v>3</v>
      </c>
      <c r="G310" s="12">
        <v>46096</v>
      </c>
      <c r="H310" s="11" t="s">
        <v>119</v>
      </c>
    </row>
    <row r="311" spans="1:8" hidden="1" x14ac:dyDescent="0.25">
      <c r="A311" s="11" t="s">
        <v>111</v>
      </c>
      <c r="B311" s="11" t="s">
        <v>34</v>
      </c>
      <c r="C311" s="11" t="s">
        <v>91</v>
      </c>
      <c r="D311" s="12">
        <v>46096</v>
      </c>
      <c r="E311" s="4">
        <v>150000</v>
      </c>
      <c r="F311" s="11" t="s">
        <v>3</v>
      </c>
      <c r="G311" s="12">
        <v>46096</v>
      </c>
      <c r="H311" s="11" t="s">
        <v>119</v>
      </c>
    </row>
    <row r="312" spans="1:8" hidden="1" x14ac:dyDescent="0.25">
      <c r="A312" s="11" t="s">
        <v>118</v>
      </c>
      <c r="B312" s="11" t="s">
        <v>130</v>
      </c>
      <c r="C312" s="11" t="s">
        <v>91</v>
      </c>
      <c r="D312" s="12">
        <v>46096</v>
      </c>
      <c r="E312" s="4">
        <v>500000</v>
      </c>
      <c r="F312" s="11" t="s">
        <v>3</v>
      </c>
      <c r="G312" s="12">
        <v>46100</v>
      </c>
      <c r="H312" s="11" t="s">
        <v>119</v>
      </c>
    </row>
    <row r="313" spans="1:8" x14ac:dyDescent="0.25">
      <c r="A313" s="11" t="s">
        <v>14</v>
      </c>
      <c r="B313" s="11" t="s">
        <v>15</v>
      </c>
      <c r="C313" s="26" t="s">
        <v>140</v>
      </c>
      <c r="D313" s="12">
        <v>46096</v>
      </c>
      <c r="E313" s="5">
        <v>911200</v>
      </c>
      <c r="F313" s="11" t="s">
        <v>3</v>
      </c>
      <c r="G313" s="12">
        <v>46160</v>
      </c>
      <c r="H313" s="11" t="s">
        <v>7</v>
      </c>
    </row>
    <row r="314" spans="1:8" x14ac:dyDescent="0.25">
      <c r="A314" s="11" t="s">
        <v>14</v>
      </c>
      <c r="B314" s="11" t="s">
        <v>15</v>
      </c>
      <c r="C314" s="26" t="s">
        <v>134</v>
      </c>
      <c r="D314" s="12">
        <v>46101</v>
      </c>
      <c r="E314" s="5">
        <v>1171780</v>
      </c>
      <c r="F314" s="11" t="s">
        <v>3</v>
      </c>
      <c r="G314" s="12">
        <v>46160</v>
      </c>
      <c r="H314" s="11" t="s">
        <v>7</v>
      </c>
    </row>
    <row r="315" spans="1:8" x14ac:dyDescent="0.25">
      <c r="A315" s="11" t="s">
        <v>14</v>
      </c>
      <c r="B315" s="11" t="s">
        <v>15</v>
      </c>
      <c r="C315" s="26" t="s">
        <v>133</v>
      </c>
      <c r="D315" s="12">
        <v>46102</v>
      </c>
      <c r="E315" s="5">
        <v>853810</v>
      </c>
      <c r="F315" s="11" t="s">
        <v>3</v>
      </c>
      <c r="G315" s="12">
        <v>46160</v>
      </c>
      <c r="H315" s="11" t="s">
        <v>7</v>
      </c>
    </row>
    <row r="316" spans="1:8" hidden="1" x14ac:dyDescent="0.25">
      <c r="A316" s="11" t="s">
        <v>29</v>
      </c>
      <c r="B316" s="11" t="s">
        <v>15</v>
      </c>
      <c r="C316" s="11">
        <v>392023</v>
      </c>
      <c r="D316" s="12">
        <v>46104</v>
      </c>
      <c r="E316" s="28">
        <v>905287</v>
      </c>
      <c r="F316" s="11" t="s">
        <v>2</v>
      </c>
      <c r="G316" s="12">
        <v>46105</v>
      </c>
      <c r="H316" s="11" t="s">
        <v>7</v>
      </c>
    </row>
    <row r="317" spans="1:8" hidden="1" x14ac:dyDescent="0.25">
      <c r="A317" s="11" t="s">
        <v>29</v>
      </c>
      <c r="B317" s="11" t="s">
        <v>15</v>
      </c>
      <c r="C317" s="11">
        <v>393064</v>
      </c>
      <c r="D317" s="12">
        <v>46104</v>
      </c>
      <c r="E317" s="8">
        <f>42318*0.88</f>
        <v>37239.840000000004</v>
      </c>
      <c r="F317" s="11" t="s">
        <v>2</v>
      </c>
      <c r="G317" s="12">
        <v>46105</v>
      </c>
      <c r="H317" s="11" t="s">
        <v>7</v>
      </c>
    </row>
    <row r="318" spans="1:8" hidden="1" x14ac:dyDescent="0.25">
      <c r="A318" s="11" t="s">
        <v>29</v>
      </c>
      <c r="B318" s="11" t="s">
        <v>15</v>
      </c>
      <c r="C318" s="11">
        <v>393083</v>
      </c>
      <c r="D318" s="12">
        <v>46104</v>
      </c>
      <c r="E318" s="28">
        <v>714340</v>
      </c>
      <c r="F318" s="11" t="s">
        <v>2</v>
      </c>
      <c r="G318" s="12">
        <v>46105</v>
      </c>
      <c r="H318" s="11" t="s">
        <v>7</v>
      </c>
    </row>
    <row r="319" spans="1:8" hidden="1" x14ac:dyDescent="0.25">
      <c r="A319" s="11" t="s">
        <v>29</v>
      </c>
      <c r="B319" s="11" t="s">
        <v>15</v>
      </c>
      <c r="C319" s="11">
        <v>393113</v>
      </c>
      <c r="D319" s="12">
        <v>46104</v>
      </c>
      <c r="E319" s="28">
        <v>99953</v>
      </c>
      <c r="F319" s="11" t="s">
        <v>2</v>
      </c>
      <c r="G319" s="12">
        <v>46105</v>
      </c>
      <c r="H319" s="11" t="s">
        <v>7</v>
      </c>
    </row>
    <row r="320" spans="1:8" x14ac:dyDescent="0.25">
      <c r="A320" s="11" t="s">
        <v>14</v>
      </c>
      <c r="B320" s="11" t="s">
        <v>15</v>
      </c>
      <c r="C320" s="26" t="s">
        <v>137</v>
      </c>
      <c r="D320" s="12">
        <v>46104</v>
      </c>
      <c r="E320" s="5">
        <v>464075</v>
      </c>
      <c r="F320" s="11" t="s">
        <v>3</v>
      </c>
      <c r="G320" s="12">
        <v>46160</v>
      </c>
      <c r="H320" s="11" t="s">
        <v>7</v>
      </c>
    </row>
    <row r="321" spans="1:8" x14ac:dyDescent="0.25">
      <c r="A321" s="11" t="s">
        <v>14</v>
      </c>
      <c r="B321" s="11" t="s">
        <v>15</v>
      </c>
      <c r="C321" s="26" t="s">
        <v>136</v>
      </c>
      <c r="D321" s="12">
        <v>46104</v>
      </c>
      <c r="E321" s="4">
        <v>1095650</v>
      </c>
      <c r="F321" s="11" t="s">
        <v>2</v>
      </c>
      <c r="G321" s="12">
        <v>46167</v>
      </c>
      <c r="H321" s="11" t="s">
        <v>7</v>
      </c>
    </row>
    <row r="322" spans="1:8" hidden="1" x14ac:dyDescent="0.25">
      <c r="A322" s="11" t="s">
        <v>29</v>
      </c>
      <c r="B322" s="11" t="s">
        <v>15</v>
      </c>
      <c r="C322" s="11">
        <v>3935547</v>
      </c>
      <c r="D322" s="12">
        <v>46106</v>
      </c>
      <c r="E322" s="28">
        <v>120000</v>
      </c>
      <c r="F322" s="11" t="s">
        <v>2</v>
      </c>
      <c r="G322" s="12">
        <v>46107</v>
      </c>
      <c r="H322" s="11" t="s">
        <v>7</v>
      </c>
    </row>
    <row r="323" spans="1:8" x14ac:dyDescent="0.25">
      <c r="A323" s="11" t="s">
        <v>14</v>
      </c>
      <c r="B323" s="11" t="s">
        <v>15</v>
      </c>
      <c r="C323" s="26" t="s">
        <v>138</v>
      </c>
      <c r="D323" s="12">
        <v>46106</v>
      </c>
      <c r="E323" s="28">
        <v>1069881</v>
      </c>
      <c r="F323" s="11" t="s">
        <v>3</v>
      </c>
      <c r="G323" s="12">
        <v>46168</v>
      </c>
      <c r="H323" s="11" t="s">
        <v>7</v>
      </c>
    </row>
    <row r="324" spans="1:8" x14ac:dyDescent="0.25">
      <c r="A324" s="11" t="s">
        <v>14</v>
      </c>
      <c r="B324" s="11" t="s">
        <v>15</v>
      </c>
      <c r="C324" s="26" t="s">
        <v>139</v>
      </c>
      <c r="D324" s="12">
        <v>46108</v>
      </c>
      <c r="E324" s="28">
        <v>1109600</v>
      </c>
      <c r="F324" s="11" t="s">
        <v>3</v>
      </c>
      <c r="G324" s="12">
        <v>46168</v>
      </c>
      <c r="H324" s="11" t="s">
        <v>7</v>
      </c>
    </row>
    <row r="325" spans="1:8" hidden="1" x14ac:dyDescent="0.25">
      <c r="A325" s="11" t="s">
        <v>32</v>
      </c>
      <c r="B325" s="11" t="s">
        <v>15</v>
      </c>
      <c r="C325" s="11">
        <v>5851</v>
      </c>
      <c r="D325" s="12">
        <v>46110</v>
      </c>
      <c r="E325" s="4">
        <v>278961</v>
      </c>
      <c r="F325" s="11" t="s">
        <v>2</v>
      </c>
      <c r="G325" s="12">
        <v>46113</v>
      </c>
      <c r="H325" s="11" t="s">
        <v>7</v>
      </c>
    </row>
    <row r="326" spans="1:8" x14ac:dyDescent="0.25">
      <c r="A326" s="11" t="s">
        <v>14</v>
      </c>
      <c r="B326" s="11" t="s">
        <v>15</v>
      </c>
      <c r="C326" s="26" t="s">
        <v>141</v>
      </c>
      <c r="D326" s="12">
        <v>46110</v>
      </c>
      <c r="E326" s="28">
        <v>1375476</v>
      </c>
      <c r="F326" s="11" t="s">
        <v>3</v>
      </c>
      <c r="G326" s="12">
        <v>46171</v>
      </c>
      <c r="H326" s="11" t="s">
        <v>7</v>
      </c>
    </row>
    <row r="327" spans="1:8" x14ac:dyDescent="0.25">
      <c r="A327" s="11" t="s">
        <v>14</v>
      </c>
      <c r="B327" s="11" t="s">
        <v>15</v>
      </c>
      <c r="C327" s="11" t="s">
        <v>143</v>
      </c>
      <c r="D327" s="12">
        <v>46110</v>
      </c>
      <c r="E327" s="28">
        <v>1049633</v>
      </c>
      <c r="F327" s="11" t="s">
        <v>3</v>
      </c>
      <c r="G327" s="12">
        <v>46171</v>
      </c>
      <c r="H327" s="11" t="s">
        <v>7</v>
      </c>
    </row>
    <row r="328" spans="1:8" hidden="1" x14ac:dyDescent="0.25">
      <c r="A328" s="11" t="s">
        <v>104</v>
      </c>
      <c r="B328" s="11" t="s">
        <v>15</v>
      </c>
      <c r="C328" s="11">
        <v>38128492</v>
      </c>
      <c r="D328" s="12">
        <v>46111</v>
      </c>
      <c r="E328" s="28">
        <v>403520</v>
      </c>
      <c r="F328" s="11" t="s">
        <v>2</v>
      </c>
      <c r="G328" s="12">
        <v>46109</v>
      </c>
      <c r="H328" s="11"/>
    </row>
    <row r="329" spans="1:8" hidden="1" x14ac:dyDescent="0.25">
      <c r="A329" s="11" t="s">
        <v>1</v>
      </c>
      <c r="B329" s="11" t="s">
        <v>34</v>
      </c>
      <c r="C329" s="11" t="s">
        <v>91</v>
      </c>
      <c r="D329" s="12">
        <v>46111</v>
      </c>
      <c r="E329" s="4">
        <v>1500000</v>
      </c>
      <c r="F329" s="11" t="s">
        <v>3</v>
      </c>
      <c r="G329" s="12">
        <v>46113</v>
      </c>
      <c r="H329" s="11" t="s">
        <v>119</v>
      </c>
    </row>
    <row r="330" spans="1:8" hidden="1" x14ac:dyDescent="0.25">
      <c r="A330" s="11" t="s">
        <v>0</v>
      </c>
      <c r="B330" s="11" t="s">
        <v>34</v>
      </c>
      <c r="C330" s="11" t="s">
        <v>91</v>
      </c>
      <c r="D330" s="12">
        <v>46111</v>
      </c>
      <c r="E330" s="4">
        <v>1500000</v>
      </c>
      <c r="F330" s="11" t="s">
        <v>3</v>
      </c>
      <c r="G330" s="12">
        <v>46113</v>
      </c>
      <c r="H330" s="11" t="s">
        <v>119</v>
      </c>
    </row>
    <row r="331" spans="1:8" hidden="1" x14ac:dyDescent="0.25">
      <c r="A331" s="11" t="s">
        <v>111</v>
      </c>
      <c r="B331" s="11" t="s">
        <v>34</v>
      </c>
      <c r="C331" s="11" t="s">
        <v>91</v>
      </c>
      <c r="D331" s="12">
        <v>46111</v>
      </c>
      <c r="E331" s="4">
        <v>150000</v>
      </c>
      <c r="F331" s="11" t="s">
        <v>3</v>
      </c>
      <c r="G331" s="12">
        <v>46111</v>
      </c>
      <c r="H331" s="11" t="s">
        <v>119</v>
      </c>
    </row>
    <row r="332" spans="1:8" hidden="1" x14ac:dyDescent="0.25">
      <c r="A332" s="11" t="s">
        <v>112</v>
      </c>
      <c r="B332" s="11" t="s">
        <v>34</v>
      </c>
      <c r="C332" s="11" t="s">
        <v>91</v>
      </c>
      <c r="D332" s="12">
        <v>46111</v>
      </c>
      <c r="E332" s="4">
        <v>150000</v>
      </c>
      <c r="F332" s="11" t="s">
        <v>3</v>
      </c>
      <c r="G332" s="12">
        <v>46111</v>
      </c>
      <c r="H332" s="11" t="s">
        <v>119</v>
      </c>
    </row>
    <row r="333" spans="1:8" hidden="1" x14ac:dyDescent="0.25">
      <c r="A333" s="11" t="s">
        <v>118</v>
      </c>
      <c r="B333" s="11" t="s">
        <v>130</v>
      </c>
      <c r="C333" s="11" t="s">
        <v>91</v>
      </c>
      <c r="D333" s="12">
        <v>46111</v>
      </c>
      <c r="E333" s="4">
        <v>500000</v>
      </c>
      <c r="F333" s="11" t="s">
        <v>153</v>
      </c>
      <c r="G333" s="12">
        <v>46118</v>
      </c>
      <c r="H333" s="11" t="s">
        <v>119</v>
      </c>
    </row>
    <row r="334" spans="1:8" hidden="1" x14ac:dyDescent="0.25">
      <c r="A334" s="11" t="s">
        <v>116</v>
      </c>
      <c r="B334" s="11" t="s">
        <v>142</v>
      </c>
      <c r="C334" s="11" t="s">
        <v>124</v>
      </c>
      <c r="D334" s="12">
        <v>46111</v>
      </c>
      <c r="E334" s="4">
        <f>900000/3</f>
        <v>300000</v>
      </c>
      <c r="F334" s="11"/>
      <c r="G334" s="11"/>
      <c r="H334" s="11" t="s">
        <v>7</v>
      </c>
    </row>
    <row r="335" spans="1:8" hidden="1" x14ac:dyDescent="0.25">
      <c r="A335" s="11" t="s">
        <v>129</v>
      </c>
      <c r="B335" s="11" t="s">
        <v>142</v>
      </c>
      <c r="C335" s="11" t="s">
        <v>124</v>
      </c>
      <c r="D335" s="12">
        <v>46111</v>
      </c>
      <c r="E335" s="4">
        <f>500000</f>
        <v>500000</v>
      </c>
      <c r="F335" s="11"/>
      <c r="G335" s="11"/>
      <c r="H335" s="11" t="s">
        <v>7</v>
      </c>
    </row>
    <row r="336" spans="1:8" hidden="1" x14ac:dyDescent="0.25">
      <c r="A336" s="11" t="s">
        <v>130</v>
      </c>
      <c r="B336" s="11" t="s">
        <v>142</v>
      </c>
      <c r="C336" s="11" t="s">
        <v>124</v>
      </c>
      <c r="D336" s="12">
        <v>46111</v>
      </c>
      <c r="E336" s="4">
        <f>500000</f>
        <v>500000</v>
      </c>
      <c r="F336" s="11"/>
      <c r="G336" s="12"/>
      <c r="H336" s="11" t="s">
        <v>7</v>
      </c>
    </row>
    <row r="337" spans="1:8" x14ac:dyDescent="0.25">
      <c r="A337" s="11" t="s">
        <v>14</v>
      </c>
      <c r="B337" s="11" t="s">
        <v>15</v>
      </c>
      <c r="C337" s="11" t="s">
        <v>144</v>
      </c>
      <c r="D337" s="12">
        <v>46113</v>
      </c>
      <c r="E337" s="28">
        <v>1138600</v>
      </c>
      <c r="F337" s="11" t="s">
        <v>3</v>
      </c>
      <c r="G337" s="12">
        <v>46176</v>
      </c>
      <c r="H337" s="11" t="s">
        <v>7</v>
      </c>
    </row>
    <row r="338" spans="1:8" hidden="1" x14ac:dyDescent="0.25">
      <c r="A338" s="11" t="s">
        <v>29</v>
      </c>
      <c r="B338" s="11" t="s">
        <v>15</v>
      </c>
      <c r="C338" s="11">
        <v>396724</v>
      </c>
      <c r="D338" s="12">
        <v>46114</v>
      </c>
      <c r="E338" s="28">
        <v>2360930</v>
      </c>
      <c r="F338" s="11" t="s">
        <v>3</v>
      </c>
      <c r="G338" s="12">
        <v>46125</v>
      </c>
      <c r="H338" s="11" t="s">
        <v>7</v>
      </c>
    </row>
    <row r="339" spans="1:8" hidden="1" x14ac:dyDescent="0.25">
      <c r="A339" s="11" t="s">
        <v>40</v>
      </c>
      <c r="B339" s="11" t="s">
        <v>41</v>
      </c>
      <c r="C339" s="11" t="s">
        <v>16</v>
      </c>
      <c r="D339" s="12">
        <v>46117</v>
      </c>
      <c r="E339" s="4">
        <v>3000000</v>
      </c>
      <c r="F339" s="11" t="s">
        <v>2</v>
      </c>
      <c r="G339" s="12">
        <v>46119</v>
      </c>
      <c r="H339" s="11" t="s">
        <v>6</v>
      </c>
    </row>
    <row r="340" spans="1:8" hidden="1" x14ac:dyDescent="0.25">
      <c r="A340" s="11" t="s">
        <v>0</v>
      </c>
      <c r="B340" s="11" t="s">
        <v>158</v>
      </c>
      <c r="C340" s="11" t="s">
        <v>91</v>
      </c>
      <c r="D340" s="12">
        <v>46117</v>
      </c>
      <c r="E340" s="28">
        <v>248163</v>
      </c>
      <c r="F340" s="11" t="s">
        <v>3</v>
      </c>
      <c r="G340" s="12">
        <v>46125</v>
      </c>
      <c r="H340" s="11" t="s">
        <v>7</v>
      </c>
    </row>
    <row r="341" spans="1:8" hidden="1" x14ac:dyDescent="0.25">
      <c r="A341" s="11" t="s">
        <v>1</v>
      </c>
      <c r="B341" s="11" t="s">
        <v>158</v>
      </c>
      <c r="C341" s="11" t="s">
        <v>91</v>
      </c>
      <c r="D341" s="12">
        <v>46117</v>
      </c>
      <c r="E341" s="28">
        <v>72665</v>
      </c>
      <c r="F341" s="11" t="s">
        <v>3</v>
      </c>
      <c r="G341" s="12">
        <v>46125</v>
      </c>
      <c r="H341" s="11" t="s">
        <v>7</v>
      </c>
    </row>
    <row r="342" spans="1:8" x14ac:dyDescent="0.25">
      <c r="A342" s="11" t="s">
        <v>14</v>
      </c>
      <c r="B342" s="11" t="s">
        <v>15</v>
      </c>
      <c r="C342" s="11" t="s">
        <v>146</v>
      </c>
      <c r="D342" s="12">
        <v>46117</v>
      </c>
      <c r="E342" s="28">
        <v>1226275</v>
      </c>
      <c r="F342" s="11" t="s">
        <v>3</v>
      </c>
      <c r="G342" s="12">
        <v>46178</v>
      </c>
      <c r="H342" s="11" t="s">
        <v>7</v>
      </c>
    </row>
    <row r="343" spans="1:8" x14ac:dyDescent="0.25">
      <c r="A343" s="11" t="s">
        <v>14</v>
      </c>
      <c r="B343" s="11" t="s">
        <v>15</v>
      </c>
      <c r="C343" s="11" t="s">
        <v>145</v>
      </c>
      <c r="D343" s="12">
        <v>46120</v>
      </c>
      <c r="E343" s="28">
        <v>1274025</v>
      </c>
      <c r="F343" s="11" t="s">
        <v>3</v>
      </c>
      <c r="G343" s="12">
        <v>46186</v>
      </c>
      <c r="H343" s="11" t="s">
        <v>7</v>
      </c>
    </row>
    <row r="344" spans="1:8" hidden="1" x14ac:dyDescent="0.25">
      <c r="A344" s="11" t="s">
        <v>27</v>
      </c>
      <c r="B344" s="11" t="s">
        <v>28</v>
      </c>
      <c r="C344" s="11" t="s">
        <v>16</v>
      </c>
      <c r="D344" s="12">
        <v>46122</v>
      </c>
      <c r="E344" s="4">
        <v>100000</v>
      </c>
      <c r="F344" s="11" t="s">
        <v>2</v>
      </c>
      <c r="G344" s="12">
        <v>46122</v>
      </c>
      <c r="H344" s="11" t="s">
        <v>6</v>
      </c>
    </row>
    <row r="345" spans="1:8" hidden="1" x14ac:dyDescent="0.25">
      <c r="A345" s="11" t="s">
        <v>26</v>
      </c>
      <c r="B345" s="11">
        <v>894509</v>
      </c>
      <c r="C345" s="11" t="s">
        <v>16</v>
      </c>
      <c r="D345" s="12">
        <v>46122</v>
      </c>
      <c r="E345" s="4">
        <v>313016</v>
      </c>
      <c r="F345" s="11" t="s">
        <v>2</v>
      </c>
      <c r="G345" s="12">
        <v>46123</v>
      </c>
      <c r="H345" s="11" t="s">
        <v>6</v>
      </c>
    </row>
    <row r="346" spans="1:8" hidden="1" x14ac:dyDescent="0.25">
      <c r="A346" s="11" t="s">
        <v>30</v>
      </c>
      <c r="B346" s="11" t="s">
        <v>31</v>
      </c>
      <c r="C346" s="11" t="s">
        <v>16</v>
      </c>
      <c r="D346" s="12">
        <v>46123</v>
      </c>
      <c r="E346" s="4">
        <v>2603890</v>
      </c>
      <c r="F346" s="11" t="s">
        <v>2</v>
      </c>
      <c r="G346" s="12">
        <v>46123</v>
      </c>
      <c r="H346" s="11" t="s">
        <v>6</v>
      </c>
    </row>
    <row r="347" spans="1:8" x14ac:dyDescent="0.25">
      <c r="A347" s="11" t="s">
        <v>14</v>
      </c>
      <c r="B347" s="11" t="s">
        <v>15</v>
      </c>
      <c r="C347" s="11" t="s">
        <v>147</v>
      </c>
      <c r="D347" s="12">
        <v>46123</v>
      </c>
      <c r="E347" s="28">
        <v>1262190</v>
      </c>
      <c r="F347" s="11" t="s">
        <v>3</v>
      </c>
      <c r="G347" s="12">
        <v>46189</v>
      </c>
      <c r="H347" s="11" t="s">
        <v>7</v>
      </c>
    </row>
    <row r="348" spans="1:8" hidden="1" x14ac:dyDescent="0.25">
      <c r="A348" s="11" t="s">
        <v>30</v>
      </c>
      <c r="B348" s="11">
        <v>7714670</v>
      </c>
      <c r="C348" s="11" t="s">
        <v>16</v>
      </c>
      <c r="D348" s="12">
        <v>46124</v>
      </c>
      <c r="E348" s="4">
        <v>2409340</v>
      </c>
      <c r="F348" s="11" t="s">
        <v>2</v>
      </c>
      <c r="G348" s="12">
        <v>46155</v>
      </c>
      <c r="H348" s="11" t="s">
        <v>6</v>
      </c>
    </row>
    <row r="349" spans="1:8" hidden="1" x14ac:dyDescent="0.25">
      <c r="A349" s="11" t="s">
        <v>35</v>
      </c>
      <c r="B349" s="11" t="s">
        <v>36</v>
      </c>
      <c r="C349" s="11" t="s">
        <v>16</v>
      </c>
      <c r="D349" s="12">
        <v>46127</v>
      </c>
      <c r="E349" s="4">
        <v>119400</v>
      </c>
      <c r="F349" s="11" t="s">
        <v>2</v>
      </c>
      <c r="G349" s="12">
        <v>46128</v>
      </c>
      <c r="H349" s="11" t="s">
        <v>6</v>
      </c>
    </row>
    <row r="350" spans="1:8" hidden="1" x14ac:dyDescent="0.25">
      <c r="A350" s="11" t="s">
        <v>0</v>
      </c>
      <c r="B350" s="11" t="s">
        <v>34</v>
      </c>
      <c r="C350" s="11" t="s">
        <v>16</v>
      </c>
      <c r="D350" s="12">
        <v>46127</v>
      </c>
      <c r="E350" s="4">
        <v>1500000</v>
      </c>
      <c r="F350" s="11" t="s">
        <v>3</v>
      </c>
      <c r="G350" s="12">
        <v>46132</v>
      </c>
      <c r="H350" s="11" t="s">
        <v>6</v>
      </c>
    </row>
    <row r="351" spans="1:8" hidden="1" x14ac:dyDescent="0.25">
      <c r="A351" s="11" t="s">
        <v>1</v>
      </c>
      <c r="B351" s="11" t="s">
        <v>34</v>
      </c>
      <c r="C351" s="11" t="s">
        <v>16</v>
      </c>
      <c r="D351" s="12">
        <v>46127</v>
      </c>
      <c r="E351" s="4">
        <v>1500000</v>
      </c>
      <c r="F351" s="11" t="s">
        <v>3</v>
      </c>
      <c r="G351" s="12">
        <v>46132</v>
      </c>
      <c r="H351" s="11" t="s">
        <v>119</v>
      </c>
    </row>
    <row r="352" spans="1:8" hidden="1" x14ac:dyDescent="0.25">
      <c r="A352" s="11" t="s">
        <v>112</v>
      </c>
      <c r="B352" s="11" t="s">
        <v>34</v>
      </c>
      <c r="C352" s="11" t="s">
        <v>16</v>
      </c>
      <c r="D352" s="12">
        <v>46127</v>
      </c>
      <c r="E352" s="4">
        <v>200000</v>
      </c>
      <c r="F352" s="11" t="s">
        <v>3</v>
      </c>
      <c r="G352" s="12">
        <v>46127</v>
      </c>
      <c r="H352" s="11" t="s">
        <v>6</v>
      </c>
    </row>
    <row r="353" spans="1:8" hidden="1" x14ac:dyDescent="0.25">
      <c r="A353" s="11" t="s">
        <v>163</v>
      </c>
      <c r="B353" s="11" t="s">
        <v>34</v>
      </c>
      <c r="C353" s="11" t="s">
        <v>16</v>
      </c>
      <c r="D353" s="12">
        <v>46127</v>
      </c>
      <c r="E353" s="4">
        <v>100000</v>
      </c>
      <c r="F353" s="11" t="s">
        <v>3</v>
      </c>
      <c r="G353" s="12">
        <v>46127</v>
      </c>
      <c r="H353" s="11" t="s">
        <v>6</v>
      </c>
    </row>
    <row r="354" spans="1:8" hidden="1" x14ac:dyDescent="0.25">
      <c r="A354" s="11" t="s">
        <v>118</v>
      </c>
      <c r="B354" s="11" t="s">
        <v>130</v>
      </c>
      <c r="C354" s="11" t="s">
        <v>16</v>
      </c>
      <c r="D354" s="12">
        <v>46127</v>
      </c>
      <c r="E354" s="4">
        <v>500000</v>
      </c>
      <c r="F354" s="11" t="s">
        <v>2</v>
      </c>
      <c r="G354" s="12">
        <v>46130</v>
      </c>
      <c r="H354" s="11" t="s">
        <v>119</v>
      </c>
    </row>
    <row r="355" spans="1:8" x14ac:dyDescent="0.25">
      <c r="A355" s="11" t="s">
        <v>14</v>
      </c>
      <c r="B355" s="11" t="s">
        <v>15</v>
      </c>
      <c r="C355" s="11" t="s">
        <v>148</v>
      </c>
      <c r="D355" s="12">
        <v>46127</v>
      </c>
      <c r="E355" s="28">
        <v>1040450</v>
      </c>
      <c r="F355" s="11" t="s">
        <v>3</v>
      </c>
      <c r="G355" s="12">
        <v>46192</v>
      </c>
      <c r="H355" s="11" t="s">
        <v>7</v>
      </c>
    </row>
    <row r="356" spans="1:8" x14ac:dyDescent="0.25">
      <c r="A356" s="11" t="s">
        <v>14</v>
      </c>
      <c r="B356" s="11" t="s">
        <v>15</v>
      </c>
      <c r="C356" s="11" t="s">
        <v>149</v>
      </c>
      <c r="D356" s="12">
        <v>46130</v>
      </c>
      <c r="E356" s="28">
        <v>809570</v>
      </c>
      <c r="F356" s="11" t="s">
        <v>3</v>
      </c>
      <c r="G356" s="12">
        <v>46193</v>
      </c>
      <c r="H356" s="11" t="s">
        <v>7</v>
      </c>
    </row>
    <row r="357" spans="1:8" x14ac:dyDescent="0.25">
      <c r="A357" s="11" t="s">
        <v>14</v>
      </c>
      <c r="B357" s="11" t="s">
        <v>15</v>
      </c>
      <c r="C357" s="11" t="s">
        <v>150</v>
      </c>
      <c r="D357" s="12">
        <v>46132</v>
      </c>
      <c r="E357" s="28">
        <v>746910</v>
      </c>
      <c r="F357" s="11" t="s">
        <v>2</v>
      </c>
      <c r="G357" s="12">
        <v>46195</v>
      </c>
      <c r="H357" s="11" t="s">
        <v>7</v>
      </c>
    </row>
    <row r="358" spans="1:8" x14ac:dyDescent="0.25">
      <c r="A358" s="11" t="s">
        <v>14</v>
      </c>
      <c r="B358" s="11" t="s">
        <v>15</v>
      </c>
      <c r="C358" s="11" t="s">
        <v>151</v>
      </c>
      <c r="D358" s="12">
        <v>46136</v>
      </c>
      <c r="E358" s="28">
        <v>1052400</v>
      </c>
      <c r="F358" s="11" t="s">
        <v>2</v>
      </c>
      <c r="G358" s="12">
        <v>46195</v>
      </c>
      <c r="H358" s="11" t="s">
        <v>7</v>
      </c>
    </row>
    <row r="359" spans="1:8" hidden="1" x14ac:dyDescent="0.25">
      <c r="A359" s="11" t="s">
        <v>32</v>
      </c>
      <c r="B359" s="11" t="s">
        <v>15</v>
      </c>
      <c r="C359" s="11">
        <v>7873</v>
      </c>
      <c r="D359" s="12">
        <v>46137</v>
      </c>
      <c r="E359" s="4">
        <v>100491</v>
      </c>
      <c r="F359" s="11" t="s">
        <v>2</v>
      </c>
      <c r="G359" s="12">
        <v>46136</v>
      </c>
      <c r="H359" s="11" t="s">
        <v>7</v>
      </c>
    </row>
    <row r="360" spans="1:8" x14ac:dyDescent="0.25">
      <c r="A360" s="11" t="s">
        <v>14</v>
      </c>
      <c r="B360" s="11" t="s">
        <v>15</v>
      </c>
      <c r="C360" s="11" t="s">
        <v>152</v>
      </c>
      <c r="D360" s="12">
        <v>46138</v>
      </c>
      <c r="E360" s="28">
        <v>1010000</v>
      </c>
      <c r="F360" s="11" t="s">
        <v>3</v>
      </c>
      <c r="G360" s="12">
        <v>46198</v>
      </c>
      <c r="H360" s="11" t="s">
        <v>7</v>
      </c>
    </row>
    <row r="361" spans="1:8" x14ac:dyDescent="0.25">
      <c r="A361" s="11" t="s">
        <v>14</v>
      </c>
      <c r="B361" s="11" t="s">
        <v>15</v>
      </c>
      <c r="C361" s="11" t="s">
        <v>162</v>
      </c>
      <c r="D361" s="12">
        <v>46141</v>
      </c>
      <c r="E361" s="28">
        <v>1189830</v>
      </c>
      <c r="F361" s="11" t="s">
        <v>3</v>
      </c>
      <c r="G361" s="12">
        <v>46205</v>
      </c>
      <c r="H361" s="11" t="s">
        <v>7</v>
      </c>
    </row>
    <row r="362" spans="1:8" hidden="1" x14ac:dyDescent="0.25">
      <c r="A362" s="11" t="s">
        <v>0</v>
      </c>
      <c r="B362" s="11" t="s">
        <v>34</v>
      </c>
      <c r="C362" s="11" t="s">
        <v>16</v>
      </c>
      <c r="D362" s="12">
        <v>46142</v>
      </c>
      <c r="E362" s="4">
        <v>1500000</v>
      </c>
      <c r="F362" s="11" t="s">
        <v>2</v>
      </c>
      <c r="G362" s="12">
        <v>46142</v>
      </c>
      <c r="H362" s="11" t="s">
        <v>119</v>
      </c>
    </row>
    <row r="363" spans="1:8" hidden="1" x14ac:dyDescent="0.25">
      <c r="A363" s="11" t="s">
        <v>1</v>
      </c>
      <c r="B363" s="11" t="s">
        <v>34</v>
      </c>
      <c r="C363" s="11" t="s">
        <v>16</v>
      </c>
      <c r="D363" s="12">
        <v>46142</v>
      </c>
      <c r="E363" s="4">
        <v>1500000</v>
      </c>
      <c r="F363" s="11" t="s">
        <v>2</v>
      </c>
      <c r="G363" s="12">
        <v>46142</v>
      </c>
      <c r="H363" s="11" t="s">
        <v>119</v>
      </c>
    </row>
    <row r="364" spans="1:8" hidden="1" x14ac:dyDescent="0.25">
      <c r="A364" s="11" t="s">
        <v>163</v>
      </c>
      <c r="B364" s="11" t="s">
        <v>34</v>
      </c>
      <c r="C364" s="11" t="s">
        <v>16</v>
      </c>
      <c r="D364" s="12">
        <v>46142</v>
      </c>
      <c r="E364" s="4">
        <v>150000</v>
      </c>
      <c r="F364" s="11" t="s">
        <v>3</v>
      </c>
      <c r="G364" s="12">
        <v>46142</v>
      </c>
      <c r="H364" s="11" t="s">
        <v>119</v>
      </c>
    </row>
    <row r="365" spans="1:8" hidden="1" x14ac:dyDescent="0.25">
      <c r="A365" s="11" t="s">
        <v>112</v>
      </c>
      <c r="B365" s="11" t="s">
        <v>34</v>
      </c>
      <c r="C365" s="11" t="s">
        <v>16</v>
      </c>
      <c r="D365" s="12">
        <v>46142</v>
      </c>
      <c r="E365" s="4">
        <v>150000</v>
      </c>
      <c r="F365" s="11" t="s">
        <v>3</v>
      </c>
      <c r="G365" s="12">
        <v>46142</v>
      </c>
      <c r="H365" s="11" t="s">
        <v>119</v>
      </c>
    </row>
    <row r="366" spans="1:8" hidden="1" x14ac:dyDescent="0.25">
      <c r="A366" s="11" t="s">
        <v>118</v>
      </c>
      <c r="B366" s="11" t="s">
        <v>130</v>
      </c>
      <c r="C366" s="11" t="s">
        <v>16</v>
      </c>
      <c r="D366" s="12">
        <v>46142</v>
      </c>
      <c r="E366" s="4">
        <v>500000</v>
      </c>
      <c r="F366" s="11" t="s">
        <v>3</v>
      </c>
      <c r="G366" s="12">
        <v>46158</v>
      </c>
      <c r="H366" s="11" t="s">
        <v>119</v>
      </c>
    </row>
    <row r="367" spans="1:8" hidden="1" x14ac:dyDescent="0.25">
      <c r="A367" s="11" t="s">
        <v>0</v>
      </c>
      <c r="B367" s="11" t="s">
        <v>169</v>
      </c>
      <c r="C367" s="11" t="s">
        <v>16</v>
      </c>
      <c r="D367" s="12">
        <v>46142</v>
      </c>
      <c r="E367" s="4">
        <v>224300</v>
      </c>
      <c r="F367" s="11" t="s">
        <v>3</v>
      </c>
      <c r="G367" s="12">
        <v>46144</v>
      </c>
      <c r="H367" s="11"/>
    </row>
    <row r="368" spans="1:8" hidden="1" x14ac:dyDescent="0.25">
      <c r="A368" s="11" t="s">
        <v>1</v>
      </c>
      <c r="B368" s="11" t="s">
        <v>170</v>
      </c>
      <c r="C368" s="11" t="s">
        <v>16</v>
      </c>
      <c r="D368" s="12">
        <v>46142</v>
      </c>
      <c r="E368" s="4">
        <v>157900</v>
      </c>
      <c r="F368" s="11" t="s">
        <v>3</v>
      </c>
      <c r="G368" s="12">
        <v>46144</v>
      </c>
      <c r="H368" s="11"/>
    </row>
    <row r="369" spans="1:8" hidden="1" x14ac:dyDescent="0.25">
      <c r="A369" s="11" t="s">
        <v>116</v>
      </c>
      <c r="B369" s="11" t="s">
        <v>142</v>
      </c>
      <c r="C369" s="11" t="s">
        <v>124</v>
      </c>
      <c r="D369" s="12">
        <v>46142</v>
      </c>
      <c r="E369" s="4">
        <f>900000/3</f>
        <v>300000</v>
      </c>
      <c r="F369" s="11"/>
      <c r="G369" s="11"/>
      <c r="H369" s="11" t="s">
        <v>7</v>
      </c>
    </row>
    <row r="370" spans="1:8" hidden="1" x14ac:dyDescent="0.25">
      <c r="A370" s="11" t="s">
        <v>129</v>
      </c>
      <c r="B370" s="11" t="s">
        <v>142</v>
      </c>
      <c r="C370" s="11" t="s">
        <v>124</v>
      </c>
      <c r="D370" s="12">
        <v>46142</v>
      </c>
      <c r="E370" s="4">
        <v>400000</v>
      </c>
      <c r="F370" s="11"/>
      <c r="G370" s="11"/>
      <c r="H370" s="11" t="s">
        <v>7</v>
      </c>
    </row>
    <row r="371" spans="1:8" hidden="1" x14ac:dyDescent="0.25">
      <c r="A371" s="11" t="s">
        <v>130</v>
      </c>
      <c r="B371" s="11" t="s">
        <v>142</v>
      </c>
      <c r="C371" s="11" t="s">
        <v>124</v>
      </c>
      <c r="D371" s="12">
        <v>46142</v>
      </c>
      <c r="E371" s="4">
        <v>400000</v>
      </c>
      <c r="F371" s="11"/>
      <c r="G371" s="11"/>
      <c r="H371" s="11" t="s">
        <v>7</v>
      </c>
    </row>
    <row r="372" spans="1:8" x14ac:dyDescent="0.25">
      <c r="A372" s="11" t="s">
        <v>14</v>
      </c>
      <c r="B372" s="11" t="s">
        <v>154</v>
      </c>
      <c r="C372" s="11" t="s">
        <v>155</v>
      </c>
      <c r="D372" s="12">
        <v>46143</v>
      </c>
      <c r="E372" s="28">
        <v>1499230</v>
      </c>
      <c r="F372" s="11" t="s">
        <v>3</v>
      </c>
      <c r="G372" s="12">
        <v>46205</v>
      </c>
      <c r="H372" s="11" t="s">
        <v>7</v>
      </c>
    </row>
    <row r="373" spans="1:8" x14ac:dyDescent="0.25">
      <c r="A373" s="11" t="s">
        <v>14</v>
      </c>
      <c r="B373" s="11" t="s">
        <v>15</v>
      </c>
      <c r="C373" s="11" t="s">
        <v>156</v>
      </c>
      <c r="D373" s="12">
        <v>46143</v>
      </c>
      <c r="E373" s="28">
        <v>200800</v>
      </c>
      <c r="F373" s="11" t="s">
        <v>2</v>
      </c>
      <c r="G373" s="12">
        <v>46208</v>
      </c>
      <c r="H373" s="11" t="s">
        <v>7</v>
      </c>
    </row>
    <row r="374" spans="1:8" hidden="1" x14ac:dyDescent="0.25">
      <c r="A374" s="11" t="s">
        <v>40</v>
      </c>
      <c r="B374" s="11" t="s">
        <v>41</v>
      </c>
      <c r="C374" s="11" t="s">
        <v>17</v>
      </c>
      <c r="D374" s="12">
        <v>46147</v>
      </c>
      <c r="E374" s="4">
        <v>3000000</v>
      </c>
      <c r="F374" s="11" t="s">
        <v>2</v>
      </c>
      <c r="G374" s="12">
        <v>46147</v>
      </c>
      <c r="H374" s="11" t="s">
        <v>6</v>
      </c>
    </row>
    <row r="375" spans="1:8" hidden="1" x14ac:dyDescent="0.25">
      <c r="A375" s="11" t="s">
        <v>29</v>
      </c>
      <c r="B375" s="11" t="s">
        <v>15</v>
      </c>
      <c r="C375" s="11">
        <v>407760</v>
      </c>
      <c r="D375" s="12">
        <v>46148</v>
      </c>
      <c r="E375" s="8">
        <v>769494</v>
      </c>
      <c r="F375" s="11" t="s">
        <v>2</v>
      </c>
      <c r="G375" s="12">
        <v>46150</v>
      </c>
      <c r="H375" s="11" t="s">
        <v>7</v>
      </c>
    </row>
    <row r="376" spans="1:8" hidden="1" x14ac:dyDescent="0.25">
      <c r="A376" s="11" t="s">
        <v>29</v>
      </c>
      <c r="B376" s="11" t="s">
        <v>15</v>
      </c>
      <c r="C376" s="11">
        <v>407862</v>
      </c>
      <c r="D376" s="12">
        <v>46148</v>
      </c>
      <c r="E376" s="8">
        <v>162594</v>
      </c>
      <c r="F376" s="11" t="s">
        <v>2</v>
      </c>
      <c r="G376" s="12">
        <v>46150</v>
      </c>
      <c r="H376" s="11" t="s">
        <v>7</v>
      </c>
    </row>
    <row r="377" spans="1:8" x14ac:dyDescent="0.25">
      <c r="A377" s="11" t="s">
        <v>14</v>
      </c>
      <c r="B377" s="11" t="s">
        <v>15</v>
      </c>
      <c r="C377" s="11" t="s">
        <v>157</v>
      </c>
      <c r="D377" s="12">
        <v>46148</v>
      </c>
      <c r="E377" s="28">
        <v>1194230</v>
      </c>
      <c r="F377" s="11" t="s">
        <v>2</v>
      </c>
      <c r="G377" s="12">
        <v>46208</v>
      </c>
      <c r="H377" s="11" t="s">
        <v>7</v>
      </c>
    </row>
    <row r="378" spans="1:8" hidden="1" x14ac:dyDescent="0.25">
      <c r="A378" s="11" t="s">
        <v>29</v>
      </c>
      <c r="B378" s="11" t="s">
        <v>15</v>
      </c>
      <c r="C378" s="11">
        <v>407920</v>
      </c>
      <c r="D378" s="12">
        <v>46149</v>
      </c>
      <c r="E378" s="28">
        <v>151767</v>
      </c>
      <c r="F378" s="11" t="s">
        <v>3</v>
      </c>
      <c r="G378" s="12">
        <v>46154</v>
      </c>
      <c r="H378" s="11" t="s">
        <v>7</v>
      </c>
    </row>
    <row r="379" spans="1:8" hidden="1" x14ac:dyDescent="0.25">
      <c r="A379" s="11" t="s">
        <v>29</v>
      </c>
      <c r="B379" s="11" t="s">
        <v>15</v>
      </c>
      <c r="C379" s="11">
        <v>408047</v>
      </c>
      <c r="D379" s="12">
        <v>46149</v>
      </c>
      <c r="E379" s="4">
        <v>506969</v>
      </c>
      <c r="F379" s="11" t="s">
        <v>3</v>
      </c>
      <c r="G379" s="12">
        <v>46154</v>
      </c>
      <c r="H379" s="11" t="s">
        <v>7</v>
      </c>
    </row>
    <row r="380" spans="1:8" hidden="1" x14ac:dyDescent="0.25">
      <c r="A380" s="11" t="s">
        <v>29</v>
      </c>
      <c r="B380" s="11" t="s">
        <v>15</v>
      </c>
      <c r="C380" s="11">
        <v>408061</v>
      </c>
      <c r="D380" s="12">
        <v>46149</v>
      </c>
      <c r="E380" s="8">
        <f>554930*0.88+105437</f>
        <v>593775.4</v>
      </c>
      <c r="F380" s="11" t="s">
        <v>2</v>
      </c>
      <c r="G380" s="12">
        <v>46150</v>
      </c>
      <c r="H380" s="11" t="s">
        <v>7</v>
      </c>
    </row>
    <row r="381" spans="1:8" hidden="1" x14ac:dyDescent="0.25">
      <c r="A381" s="11" t="s">
        <v>29</v>
      </c>
      <c r="B381" s="11" t="s">
        <v>15</v>
      </c>
      <c r="C381" s="11">
        <v>408069</v>
      </c>
      <c r="D381" s="12">
        <v>46149</v>
      </c>
      <c r="E381" s="8">
        <v>56215</v>
      </c>
      <c r="F381" s="11" t="s">
        <v>2</v>
      </c>
      <c r="G381" s="12">
        <v>46150</v>
      </c>
      <c r="H381" s="11" t="s">
        <v>7</v>
      </c>
    </row>
    <row r="382" spans="1:8" x14ac:dyDescent="0.25">
      <c r="A382" s="11" t="s">
        <v>14</v>
      </c>
      <c r="B382" s="11" t="s">
        <v>15</v>
      </c>
      <c r="C382" s="11" t="s">
        <v>159</v>
      </c>
      <c r="D382" s="12">
        <v>46149</v>
      </c>
      <c r="E382" s="4">
        <v>645770</v>
      </c>
      <c r="F382" s="11" t="s">
        <v>2</v>
      </c>
      <c r="G382" s="12">
        <v>46208</v>
      </c>
      <c r="H382" s="11" t="s">
        <v>7</v>
      </c>
    </row>
    <row r="383" spans="1:8" x14ac:dyDescent="0.25">
      <c r="A383" s="11" t="s">
        <v>14</v>
      </c>
      <c r="B383" s="11" t="s">
        <v>15</v>
      </c>
      <c r="C383" s="11" t="s">
        <v>175</v>
      </c>
      <c r="D383" s="12">
        <v>46151</v>
      </c>
      <c r="E383" s="28">
        <v>869200</v>
      </c>
      <c r="F383" s="11" t="s">
        <v>153</v>
      </c>
      <c r="G383" s="12">
        <v>46208</v>
      </c>
      <c r="H383" s="11" t="s">
        <v>7</v>
      </c>
    </row>
    <row r="384" spans="1:8" hidden="1" x14ac:dyDescent="0.25">
      <c r="A384" s="11" t="s">
        <v>27</v>
      </c>
      <c r="B384" s="11" t="s">
        <v>28</v>
      </c>
      <c r="C384" s="11" t="s">
        <v>17</v>
      </c>
      <c r="D384" s="12">
        <v>46152</v>
      </c>
      <c r="E384" s="4">
        <v>100000</v>
      </c>
      <c r="F384" s="11" t="s">
        <v>2</v>
      </c>
      <c r="G384" s="12">
        <v>46153</v>
      </c>
      <c r="H384" s="11" t="s">
        <v>6</v>
      </c>
    </row>
    <row r="385" spans="1:9" hidden="1" x14ac:dyDescent="0.25">
      <c r="A385" s="11" t="s">
        <v>30</v>
      </c>
      <c r="B385" s="11" t="s">
        <v>31</v>
      </c>
      <c r="C385" s="11" t="s">
        <v>17</v>
      </c>
      <c r="D385" s="12">
        <v>46153</v>
      </c>
      <c r="E385" s="4">
        <v>1974200</v>
      </c>
      <c r="F385" s="11" t="s">
        <v>2</v>
      </c>
      <c r="G385" s="12">
        <v>46154</v>
      </c>
      <c r="H385" s="11" t="s">
        <v>6</v>
      </c>
      <c r="I385" s="1"/>
    </row>
    <row r="386" spans="1:9" x14ac:dyDescent="0.25">
      <c r="A386" s="11" t="s">
        <v>14</v>
      </c>
      <c r="B386" s="11" t="s">
        <v>15</v>
      </c>
      <c r="C386" s="11" t="s">
        <v>176</v>
      </c>
      <c r="D386" s="12">
        <v>46155</v>
      </c>
      <c r="E386" s="28">
        <v>827854</v>
      </c>
      <c r="F386" s="11" t="s">
        <v>3</v>
      </c>
      <c r="G386" s="12">
        <v>46208</v>
      </c>
      <c r="H386" s="11" t="s">
        <v>7</v>
      </c>
    </row>
    <row r="387" spans="1:9" hidden="1" x14ac:dyDescent="0.25">
      <c r="A387" s="11" t="s">
        <v>26</v>
      </c>
      <c r="B387" s="11">
        <v>894509</v>
      </c>
      <c r="C387" s="11" t="s">
        <v>17</v>
      </c>
      <c r="D387" s="12">
        <v>46156</v>
      </c>
      <c r="E387" s="4">
        <v>288170</v>
      </c>
      <c r="F387" s="11" t="s">
        <v>2</v>
      </c>
      <c r="G387" s="12">
        <v>46157</v>
      </c>
      <c r="H387" s="11" t="s">
        <v>6</v>
      </c>
    </row>
    <row r="388" spans="1:9" hidden="1" x14ac:dyDescent="0.25">
      <c r="A388" s="11" t="s">
        <v>118</v>
      </c>
      <c r="B388" s="11" t="s">
        <v>130</v>
      </c>
      <c r="C388" s="11" t="s">
        <v>17</v>
      </c>
      <c r="D388" s="12">
        <v>46157</v>
      </c>
      <c r="E388" s="4">
        <v>500000</v>
      </c>
      <c r="F388" s="11" t="s">
        <v>3</v>
      </c>
      <c r="G388" s="12">
        <v>46158</v>
      </c>
      <c r="H388" s="11" t="s">
        <v>119</v>
      </c>
    </row>
    <row r="389" spans="1:9" hidden="1" x14ac:dyDescent="0.25">
      <c r="A389" s="11" t="s">
        <v>35</v>
      </c>
      <c r="B389" s="11" t="s">
        <v>36</v>
      </c>
      <c r="C389" s="11" t="s">
        <v>17</v>
      </c>
      <c r="D389" s="12">
        <v>46157</v>
      </c>
      <c r="E389" s="4">
        <v>99935</v>
      </c>
      <c r="F389" s="11" t="s">
        <v>2</v>
      </c>
      <c r="G389" s="12">
        <v>46157</v>
      </c>
      <c r="H389" s="11" t="s">
        <v>6</v>
      </c>
    </row>
    <row r="390" spans="1:9" hidden="1" x14ac:dyDescent="0.25">
      <c r="A390" s="11" t="s">
        <v>0</v>
      </c>
      <c r="B390" s="11" t="s">
        <v>34</v>
      </c>
      <c r="C390" s="11" t="s">
        <v>17</v>
      </c>
      <c r="D390" s="12">
        <v>46157</v>
      </c>
      <c r="E390" s="4">
        <v>1500000</v>
      </c>
      <c r="F390" s="11" t="s">
        <v>3</v>
      </c>
      <c r="G390" s="12">
        <v>46157</v>
      </c>
      <c r="H390" s="11" t="s">
        <v>6</v>
      </c>
    </row>
    <row r="391" spans="1:9" hidden="1" x14ac:dyDescent="0.25">
      <c r="A391" s="11" t="s">
        <v>1</v>
      </c>
      <c r="B391" s="11" t="s">
        <v>34</v>
      </c>
      <c r="C391" s="11" t="s">
        <v>17</v>
      </c>
      <c r="D391" s="12">
        <v>46157</v>
      </c>
      <c r="E391" s="4">
        <v>1500000</v>
      </c>
      <c r="F391" s="11" t="s">
        <v>3</v>
      </c>
      <c r="G391" s="12">
        <v>46157</v>
      </c>
      <c r="H391" s="11" t="s">
        <v>6</v>
      </c>
    </row>
    <row r="392" spans="1:9" hidden="1" x14ac:dyDescent="0.25">
      <c r="A392" s="11" t="s">
        <v>112</v>
      </c>
      <c r="B392" s="11" t="s">
        <v>34</v>
      </c>
      <c r="C392" s="11" t="s">
        <v>17</v>
      </c>
      <c r="D392" s="12">
        <v>46157</v>
      </c>
      <c r="E392" s="4">
        <v>150000</v>
      </c>
      <c r="F392" s="11" t="s">
        <v>3</v>
      </c>
      <c r="G392" s="12">
        <v>46157</v>
      </c>
      <c r="H392" s="11" t="s">
        <v>6</v>
      </c>
    </row>
    <row r="393" spans="1:9" hidden="1" x14ac:dyDescent="0.25">
      <c r="A393" s="11" t="s">
        <v>163</v>
      </c>
      <c r="B393" s="11" t="s">
        <v>34</v>
      </c>
      <c r="C393" s="11" t="s">
        <v>17</v>
      </c>
      <c r="D393" s="12">
        <v>46157</v>
      </c>
      <c r="E393" s="4">
        <v>150000</v>
      </c>
      <c r="F393" s="11" t="s">
        <v>3</v>
      </c>
      <c r="G393" s="12">
        <v>46157</v>
      </c>
      <c r="H393" s="11" t="s">
        <v>6</v>
      </c>
    </row>
    <row r="394" spans="1:9" x14ac:dyDescent="0.25">
      <c r="A394" s="11" t="s">
        <v>14</v>
      </c>
      <c r="B394" s="11" t="s">
        <v>15</v>
      </c>
      <c r="C394" s="11" t="s">
        <v>177</v>
      </c>
      <c r="D394" s="12">
        <v>46157</v>
      </c>
      <c r="E394" s="28">
        <v>1067550</v>
      </c>
      <c r="F394" s="11" t="s">
        <v>3</v>
      </c>
      <c r="G394" s="12">
        <v>46213</v>
      </c>
      <c r="H394" s="11" t="s">
        <v>7</v>
      </c>
    </row>
    <row r="395" spans="1:9" x14ac:dyDescent="0.25">
      <c r="A395" s="11" t="s">
        <v>14</v>
      </c>
      <c r="B395" s="11" t="s">
        <v>15</v>
      </c>
      <c r="C395" s="11" t="s">
        <v>178</v>
      </c>
      <c r="D395" s="12">
        <v>46158</v>
      </c>
      <c r="E395" s="28">
        <v>91600</v>
      </c>
      <c r="F395" s="11" t="s">
        <v>3</v>
      </c>
      <c r="G395" s="12">
        <v>46208</v>
      </c>
      <c r="H395" s="11" t="s">
        <v>7</v>
      </c>
    </row>
    <row r="396" spans="1:9" hidden="1" x14ac:dyDescent="0.25">
      <c r="A396" s="11" t="s">
        <v>32</v>
      </c>
      <c r="B396" s="11" t="s">
        <v>15</v>
      </c>
      <c r="C396" s="11">
        <v>9811</v>
      </c>
      <c r="D396" s="12">
        <v>46159</v>
      </c>
      <c r="E396" s="4">
        <v>258528</v>
      </c>
      <c r="F396" s="11" t="s">
        <v>2</v>
      </c>
      <c r="G396" s="12">
        <v>46161</v>
      </c>
      <c r="H396" s="11" t="s">
        <v>7</v>
      </c>
    </row>
    <row r="397" spans="1:9" x14ac:dyDescent="0.25">
      <c r="A397" s="11" t="s">
        <v>14</v>
      </c>
      <c r="B397" s="11" t="s">
        <v>15</v>
      </c>
      <c r="C397" s="11" t="s">
        <v>179</v>
      </c>
      <c r="D397" s="12">
        <v>46159</v>
      </c>
      <c r="E397" s="28">
        <v>570500</v>
      </c>
      <c r="F397" s="11" t="s">
        <v>3</v>
      </c>
      <c r="G397" s="12">
        <v>46217</v>
      </c>
      <c r="H397" s="11" t="s">
        <v>7</v>
      </c>
    </row>
    <row r="398" spans="1:9" x14ac:dyDescent="0.25">
      <c r="A398" s="11" t="s">
        <v>14</v>
      </c>
      <c r="B398" s="11" t="s">
        <v>15</v>
      </c>
      <c r="C398" s="11" t="s">
        <v>161</v>
      </c>
      <c r="D398" s="12">
        <v>46160</v>
      </c>
      <c r="E398" s="28">
        <v>98000</v>
      </c>
      <c r="F398" s="11" t="s">
        <v>3</v>
      </c>
      <c r="G398" s="12">
        <v>46187</v>
      </c>
      <c r="H398" s="11" t="s">
        <v>7</v>
      </c>
    </row>
    <row r="399" spans="1:9" x14ac:dyDescent="0.25">
      <c r="A399" s="11" t="s">
        <v>14</v>
      </c>
      <c r="B399" s="11" t="s">
        <v>15</v>
      </c>
      <c r="C399" s="11" t="s">
        <v>191</v>
      </c>
      <c r="D399" s="12">
        <v>46162</v>
      </c>
      <c r="E399" s="4">
        <v>962110</v>
      </c>
      <c r="F399" s="11" t="s">
        <v>3</v>
      </c>
      <c r="G399" s="12">
        <v>46187</v>
      </c>
      <c r="H399" s="11" t="s">
        <v>7</v>
      </c>
    </row>
    <row r="400" spans="1:9" x14ac:dyDescent="0.25">
      <c r="A400" s="11" t="s">
        <v>14</v>
      </c>
      <c r="B400" s="11" t="s">
        <v>15</v>
      </c>
      <c r="C400" s="11" t="s">
        <v>192</v>
      </c>
      <c r="D400" s="12">
        <v>46162</v>
      </c>
      <c r="E400" s="4">
        <v>364700</v>
      </c>
      <c r="F400" s="11" t="s">
        <v>3</v>
      </c>
      <c r="G400" s="12">
        <v>46187</v>
      </c>
      <c r="H400" s="11" t="s">
        <v>7</v>
      </c>
    </row>
    <row r="401" spans="1:8" x14ac:dyDescent="0.25">
      <c r="A401" s="11" t="s">
        <v>14</v>
      </c>
      <c r="B401" s="11" t="s">
        <v>15</v>
      </c>
      <c r="C401" s="11" t="s">
        <v>167</v>
      </c>
      <c r="D401" s="12">
        <v>46165</v>
      </c>
      <c r="E401" s="4">
        <v>1341992</v>
      </c>
      <c r="F401" s="11" t="s">
        <v>2</v>
      </c>
      <c r="G401" s="12">
        <v>46220</v>
      </c>
      <c r="H401" s="11" t="s">
        <v>7</v>
      </c>
    </row>
    <row r="402" spans="1:8" x14ac:dyDescent="0.25">
      <c r="A402" s="11" t="s">
        <v>14</v>
      </c>
      <c r="B402" s="11" t="s">
        <v>15</v>
      </c>
      <c r="C402" s="11" t="s">
        <v>166</v>
      </c>
      <c r="D402" s="12">
        <v>46166</v>
      </c>
      <c r="E402" s="4">
        <v>966200</v>
      </c>
      <c r="F402" s="11" t="s">
        <v>2</v>
      </c>
      <c r="G402" s="12">
        <v>46226</v>
      </c>
      <c r="H402" s="11" t="s">
        <v>7</v>
      </c>
    </row>
    <row r="403" spans="1:8" x14ac:dyDescent="0.25">
      <c r="A403" s="11" t="s">
        <v>14</v>
      </c>
      <c r="B403" s="11" t="s">
        <v>15</v>
      </c>
      <c r="C403" s="11" t="s">
        <v>168</v>
      </c>
      <c r="D403" s="12">
        <v>46166</v>
      </c>
      <c r="E403" s="4">
        <v>683500</v>
      </c>
      <c r="F403" s="11" t="s">
        <v>3</v>
      </c>
      <c r="G403" s="12">
        <v>46226</v>
      </c>
      <c r="H403" s="11" t="s">
        <v>7</v>
      </c>
    </row>
    <row r="404" spans="1:8" hidden="1" x14ac:dyDescent="0.25">
      <c r="A404" s="11" t="s">
        <v>29</v>
      </c>
      <c r="B404" s="11" t="s">
        <v>15</v>
      </c>
      <c r="C404" s="11">
        <v>414375</v>
      </c>
      <c r="D404" s="12">
        <v>46167</v>
      </c>
      <c r="E404" s="4">
        <v>57356</v>
      </c>
      <c r="F404" s="11" t="s">
        <v>2</v>
      </c>
      <c r="G404" s="12">
        <v>46167</v>
      </c>
      <c r="H404" s="11" t="s">
        <v>7</v>
      </c>
    </row>
    <row r="405" spans="1:8" hidden="1" x14ac:dyDescent="0.25">
      <c r="A405" s="11" t="s">
        <v>29</v>
      </c>
      <c r="B405" s="11" t="s">
        <v>15</v>
      </c>
      <c r="C405" s="11">
        <v>414411</v>
      </c>
      <c r="D405" s="12">
        <v>46167</v>
      </c>
      <c r="E405" s="4">
        <v>261906</v>
      </c>
      <c r="F405" s="11" t="s">
        <v>2</v>
      </c>
      <c r="G405" s="12">
        <v>46167</v>
      </c>
      <c r="H405" s="11" t="s">
        <v>7</v>
      </c>
    </row>
    <row r="406" spans="1:8" ht="14.25" hidden="1" customHeight="1" x14ac:dyDescent="0.25">
      <c r="A406" s="11" t="s">
        <v>29</v>
      </c>
      <c r="B406" s="11" t="s">
        <v>15</v>
      </c>
      <c r="C406" s="11">
        <v>414467</v>
      </c>
      <c r="D406" s="12">
        <v>46167</v>
      </c>
      <c r="E406" s="4">
        <v>920286</v>
      </c>
      <c r="F406" s="11" t="s">
        <v>2</v>
      </c>
      <c r="G406" s="12">
        <v>46167</v>
      </c>
      <c r="H406" s="11" t="s">
        <v>7</v>
      </c>
    </row>
    <row r="407" spans="1:8" ht="14.25" customHeight="1" x14ac:dyDescent="0.25">
      <c r="A407" s="11" t="s">
        <v>14</v>
      </c>
      <c r="B407" s="11" t="s">
        <v>15</v>
      </c>
      <c r="C407" s="11" t="s">
        <v>165</v>
      </c>
      <c r="D407" s="12">
        <v>46167</v>
      </c>
      <c r="E407" s="4">
        <v>969075</v>
      </c>
      <c r="F407" s="11" t="s">
        <v>3</v>
      </c>
      <c r="G407" s="12">
        <v>46226</v>
      </c>
      <c r="H407" s="11" t="s">
        <v>7</v>
      </c>
    </row>
    <row r="408" spans="1:8" ht="14.25" customHeight="1" x14ac:dyDescent="0.25">
      <c r="A408" s="11" t="s">
        <v>14</v>
      </c>
      <c r="B408" s="11" t="s">
        <v>15</v>
      </c>
      <c r="C408" s="11" t="s">
        <v>164</v>
      </c>
      <c r="D408" s="12">
        <v>46169</v>
      </c>
      <c r="E408" s="4">
        <v>1056300</v>
      </c>
      <c r="F408" s="11" t="s">
        <v>2</v>
      </c>
      <c r="G408" s="12">
        <v>46228</v>
      </c>
      <c r="H408" s="11" t="s">
        <v>7</v>
      </c>
    </row>
    <row r="409" spans="1:8" ht="14.25" hidden="1" customHeight="1" x14ac:dyDescent="0.25">
      <c r="A409" s="11" t="s">
        <v>39</v>
      </c>
      <c r="B409" s="11" t="s">
        <v>15</v>
      </c>
      <c r="C409" s="11">
        <v>467891</v>
      </c>
      <c r="D409" s="12">
        <v>46170</v>
      </c>
      <c r="E409" s="4">
        <v>316533</v>
      </c>
      <c r="F409" s="11" t="s">
        <v>3</v>
      </c>
      <c r="G409" s="12">
        <v>46184</v>
      </c>
      <c r="H409" s="11" t="s">
        <v>7</v>
      </c>
    </row>
    <row r="410" spans="1:8" ht="14.25" hidden="1" customHeight="1" x14ac:dyDescent="0.25">
      <c r="A410" s="11" t="s">
        <v>29</v>
      </c>
      <c r="B410" s="11" t="s">
        <v>15</v>
      </c>
      <c r="C410" s="11">
        <v>415525</v>
      </c>
      <c r="D410" s="12">
        <v>46171</v>
      </c>
      <c r="E410" s="4">
        <v>811224</v>
      </c>
      <c r="F410" s="11" t="s">
        <v>2</v>
      </c>
      <c r="G410" s="12">
        <v>46178</v>
      </c>
      <c r="H410" s="11" t="s">
        <v>7</v>
      </c>
    </row>
    <row r="411" spans="1:8" ht="14.25" customHeight="1" x14ac:dyDescent="0.25">
      <c r="A411" s="11" t="s">
        <v>14</v>
      </c>
      <c r="B411" s="11" t="s">
        <v>15</v>
      </c>
      <c r="C411" s="11" t="s">
        <v>171</v>
      </c>
      <c r="D411" s="12">
        <v>46171</v>
      </c>
      <c r="E411" s="4">
        <v>631950</v>
      </c>
      <c r="F411" s="33" t="s">
        <v>2</v>
      </c>
      <c r="G411" s="12">
        <v>46228</v>
      </c>
      <c r="H411" s="11" t="s">
        <v>7</v>
      </c>
    </row>
    <row r="412" spans="1:8" ht="14.25" customHeight="1" x14ac:dyDescent="0.25">
      <c r="A412" s="11" t="s">
        <v>14</v>
      </c>
      <c r="B412" s="11" t="s">
        <v>15</v>
      </c>
      <c r="C412" s="11" t="s">
        <v>172</v>
      </c>
      <c r="D412" s="12">
        <v>46171</v>
      </c>
      <c r="E412" s="4">
        <v>85600</v>
      </c>
      <c r="F412" s="11" t="s">
        <v>3</v>
      </c>
      <c r="G412" s="12">
        <v>46228</v>
      </c>
      <c r="H412" s="11" t="s">
        <v>7</v>
      </c>
    </row>
    <row r="413" spans="1:8" ht="14.25" hidden="1" customHeight="1" x14ac:dyDescent="0.25">
      <c r="A413" s="11" t="s">
        <v>118</v>
      </c>
      <c r="B413" s="11" t="s">
        <v>130</v>
      </c>
      <c r="C413" s="11" t="s">
        <v>17</v>
      </c>
      <c r="D413" s="12">
        <v>46172</v>
      </c>
      <c r="E413" s="4">
        <v>500000</v>
      </c>
      <c r="F413" s="33" t="s">
        <v>3</v>
      </c>
      <c r="G413" s="12">
        <v>46220</v>
      </c>
      <c r="H413" s="11" t="s">
        <v>119</v>
      </c>
    </row>
    <row r="414" spans="1:8" ht="14.25" customHeight="1" x14ac:dyDescent="0.25">
      <c r="A414" s="11" t="s">
        <v>14</v>
      </c>
      <c r="B414" s="11" t="s">
        <v>15</v>
      </c>
      <c r="C414" s="11" t="s">
        <v>173</v>
      </c>
      <c r="D414" s="12">
        <v>46174</v>
      </c>
      <c r="E414" s="4">
        <v>1499230</v>
      </c>
      <c r="F414" s="11" t="s">
        <v>3</v>
      </c>
      <c r="G414" s="12">
        <v>46204</v>
      </c>
      <c r="H414" s="11" t="s">
        <v>7</v>
      </c>
    </row>
    <row r="415" spans="1:8" ht="14.25" customHeight="1" x14ac:dyDescent="0.25">
      <c r="A415" s="11" t="s">
        <v>14</v>
      </c>
      <c r="B415" s="11" t="s">
        <v>15</v>
      </c>
      <c r="C415" s="11" t="s">
        <v>174</v>
      </c>
      <c r="D415" s="12">
        <v>46176</v>
      </c>
      <c r="E415" s="4">
        <v>1098272</v>
      </c>
      <c r="F415" s="11" t="s">
        <v>3</v>
      </c>
      <c r="G415" s="12">
        <v>46204</v>
      </c>
      <c r="H415" s="11" t="s">
        <v>7</v>
      </c>
    </row>
    <row r="416" spans="1:8" ht="14.25" customHeight="1" x14ac:dyDescent="0.25">
      <c r="A416" s="11" t="s">
        <v>14</v>
      </c>
      <c r="B416" s="11" t="s">
        <v>15</v>
      </c>
      <c r="C416" s="11" t="s">
        <v>199</v>
      </c>
      <c r="D416" s="12">
        <v>46177</v>
      </c>
      <c r="E416" s="4">
        <v>540300</v>
      </c>
      <c r="F416" s="11" t="s">
        <v>3</v>
      </c>
      <c r="G416" s="12">
        <v>46582</v>
      </c>
      <c r="H416" s="11" t="s">
        <v>7</v>
      </c>
    </row>
    <row r="417" spans="1:8" ht="14.25" hidden="1" customHeight="1" x14ac:dyDescent="0.25">
      <c r="A417" s="11" t="s">
        <v>40</v>
      </c>
      <c r="B417" s="11" t="s">
        <v>41</v>
      </c>
      <c r="C417" s="11" t="s">
        <v>19</v>
      </c>
      <c r="D417" s="12">
        <v>46178</v>
      </c>
      <c r="E417" s="4">
        <v>3000000</v>
      </c>
      <c r="F417" s="11" t="s">
        <v>2</v>
      </c>
      <c r="G417" s="12">
        <v>46178</v>
      </c>
      <c r="H417" s="11" t="s">
        <v>6</v>
      </c>
    </row>
    <row r="418" spans="1:8" ht="14.25" customHeight="1" x14ac:dyDescent="0.25">
      <c r="A418" s="11" t="s">
        <v>14</v>
      </c>
      <c r="B418" s="11" t="s">
        <v>15</v>
      </c>
      <c r="C418" s="11" t="s">
        <v>180</v>
      </c>
      <c r="D418" s="12">
        <v>46178</v>
      </c>
      <c r="E418" s="4">
        <v>781860</v>
      </c>
      <c r="F418" s="11" t="s">
        <v>3</v>
      </c>
      <c r="G418" s="12">
        <v>46231</v>
      </c>
      <c r="H418" s="11" t="s">
        <v>7</v>
      </c>
    </row>
    <row r="419" spans="1:8" ht="14.25" hidden="1" customHeight="1" x14ac:dyDescent="0.25">
      <c r="A419" s="11" t="s">
        <v>0</v>
      </c>
      <c r="B419" s="11" t="s">
        <v>158</v>
      </c>
      <c r="C419" s="11" t="s">
        <v>19</v>
      </c>
      <c r="D419" s="12">
        <v>46178</v>
      </c>
      <c r="E419" s="28">
        <v>198600</v>
      </c>
      <c r="F419" s="11" t="s">
        <v>3</v>
      </c>
      <c r="G419" s="12">
        <v>46178</v>
      </c>
      <c r="H419" s="11" t="s">
        <v>7</v>
      </c>
    </row>
    <row r="420" spans="1:8" ht="14.25" hidden="1" customHeight="1" x14ac:dyDescent="0.25">
      <c r="A420" s="11" t="s">
        <v>1</v>
      </c>
      <c r="B420" s="11" t="s">
        <v>158</v>
      </c>
      <c r="C420" s="11" t="s">
        <v>19</v>
      </c>
      <c r="D420" s="12">
        <v>46178</v>
      </c>
      <c r="E420" s="28">
        <v>182200</v>
      </c>
      <c r="F420" s="11" t="s">
        <v>3</v>
      </c>
      <c r="G420" s="12">
        <v>46178</v>
      </c>
      <c r="H420" s="11" t="s">
        <v>7</v>
      </c>
    </row>
    <row r="421" spans="1:8" ht="14.25" customHeight="1" x14ac:dyDescent="0.25">
      <c r="A421" s="11" t="s">
        <v>14</v>
      </c>
      <c r="B421" s="11" t="s">
        <v>15</v>
      </c>
      <c r="C421" s="11" t="s">
        <v>181</v>
      </c>
      <c r="D421" s="12">
        <v>46179</v>
      </c>
      <c r="E421" s="4">
        <v>606250</v>
      </c>
      <c r="F421" s="11" t="s">
        <v>3</v>
      </c>
      <c r="G421" s="12">
        <v>46231</v>
      </c>
      <c r="H421" s="11" t="s">
        <v>7</v>
      </c>
    </row>
    <row r="422" spans="1:8" ht="14.25" hidden="1" customHeight="1" x14ac:dyDescent="0.25">
      <c r="A422" s="11" t="s">
        <v>29</v>
      </c>
      <c r="B422" s="11" t="s">
        <v>15</v>
      </c>
      <c r="C422" s="11">
        <v>418895</v>
      </c>
      <c r="D422" s="12">
        <v>46180</v>
      </c>
      <c r="E422" s="8">
        <f>87036*0.88</f>
        <v>76591.680000000008</v>
      </c>
      <c r="F422" s="11" t="s">
        <v>3</v>
      </c>
      <c r="G422" s="12">
        <v>46184</v>
      </c>
      <c r="H422" s="11" t="s">
        <v>7</v>
      </c>
    </row>
    <row r="423" spans="1:8" ht="14.25" hidden="1" customHeight="1" x14ac:dyDescent="0.25">
      <c r="A423" s="11" t="s">
        <v>29</v>
      </c>
      <c r="B423" s="11" t="s">
        <v>15</v>
      </c>
      <c r="C423" s="11">
        <v>418916</v>
      </c>
      <c r="D423" s="12">
        <v>46180</v>
      </c>
      <c r="E423" s="8">
        <f>440722*0.88</f>
        <v>387835.36</v>
      </c>
      <c r="F423" s="11" t="s">
        <v>3</v>
      </c>
      <c r="G423" s="12">
        <v>46184</v>
      </c>
      <c r="H423" s="11" t="s">
        <v>7</v>
      </c>
    </row>
    <row r="424" spans="1:8" ht="14.25" hidden="1" customHeight="1" x14ac:dyDescent="0.25">
      <c r="A424" s="11" t="s">
        <v>32</v>
      </c>
      <c r="B424" s="11" t="s">
        <v>15</v>
      </c>
      <c r="C424" s="11">
        <v>11309</v>
      </c>
      <c r="D424" s="12">
        <v>46180</v>
      </c>
      <c r="E424" s="8">
        <f>168650*0.9</f>
        <v>151785</v>
      </c>
      <c r="F424" s="11" t="s">
        <v>3</v>
      </c>
      <c r="G424" s="12">
        <v>46190</v>
      </c>
      <c r="H424" s="11" t="s">
        <v>7</v>
      </c>
    </row>
    <row r="425" spans="1:8" ht="14.25" hidden="1" customHeight="1" x14ac:dyDescent="0.25">
      <c r="A425" s="11" t="s">
        <v>29</v>
      </c>
      <c r="B425" s="11" t="s">
        <v>15</v>
      </c>
      <c r="C425" s="11">
        <v>418910</v>
      </c>
      <c r="D425" s="12">
        <v>46180</v>
      </c>
      <c r="E425" s="8">
        <f>1229127*0.88</f>
        <v>1081631.76</v>
      </c>
      <c r="F425" s="11" t="s">
        <v>3</v>
      </c>
      <c r="G425" s="12">
        <v>46184</v>
      </c>
      <c r="H425" s="11" t="s">
        <v>7</v>
      </c>
    </row>
    <row r="426" spans="1:8" ht="14.25" customHeight="1" x14ac:dyDescent="0.25">
      <c r="A426" s="11" t="s">
        <v>14</v>
      </c>
      <c r="B426" s="11" t="s">
        <v>15</v>
      </c>
      <c r="C426" s="11" t="s">
        <v>182</v>
      </c>
      <c r="D426" s="12">
        <v>46181</v>
      </c>
      <c r="E426" s="4">
        <v>834300</v>
      </c>
      <c r="F426" s="11" t="s">
        <v>3</v>
      </c>
      <c r="G426" s="12">
        <v>46244</v>
      </c>
      <c r="H426" s="11" t="s">
        <v>7</v>
      </c>
    </row>
    <row r="427" spans="1:8" ht="14.25" customHeight="1" x14ac:dyDescent="0.25">
      <c r="A427" s="11" t="s">
        <v>14</v>
      </c>
      <c r="B427" s="11" t="s">
        <v>15</v>
      </c>
      <c r="C427" s="11" t="s">
        <v>183</v>
      </c>
      <c r="D427" s="12">
        <v>46183</v>
      </c>
      <c r="E427" s="4">
        <v>1049300</v>
      </c>
      <c r="F427" s="11" t="s">
        <v>3</v>
      </c>
      <c r="G427" s="12">
        <v>46244</v>
      </c>
      <c r="H427" s="11" t="s">
        <v>7</v>
      </c>
    </row>
    <row r="428" spans="1:8" ht="14.25" customHeight="1" x14ac:dyDescent="0.25">
      <c r="A428" s="11" t="s">
        <v>14</v>
      </c>
      <c r="B428" s="11" t="s">
        <v>15</v>
      </c>
      <c r="C428" s="11" t="s">
        <v>185</v>
      </c>
      <c r="D428" s="12">
        <v>46183</v>
      </c>
      <c r="E428" s="4">
        <v>347785</v>
      </c>
      <c r="F428" s="11" t="s">
        <v>3</v>
      </c>
      <c r="G428" s="12">
        <v>46244</v>
      </c>
      <c r="H428" s="11" t="s">
        <v>7</v>
      </c>
    </row>
    <row r="429" spans="1:8" ht="14.25" customHeight="1" x14ac:dyDescent="0.25">
      <c r="A429" s="11" t="s">
        <v>14</v>
      </c>
      <c r="B429" s="11" t="s">
        <v>15</v>
      </c>
      <c r="C429" s="11" t="s">
        <v>184</v>
      </c>
      <c r="D429" s="12">
        <v>46183</v>
      </c>
      <c r="E429" s="4">
        <v>171900</v>
      </c>
      <c r="F429" s="11" t="s">
        <v>3</v>
      </c>
      <c r="G429" s="12">
        <v>46244</v>
      </c>
      <c r="H429" s="11" t="s">
        <v>7</v>
      </c>
    </row>
    <row r="430" spans="1:8" ht="14.25" hidden="1" customHeight="1" x14ac:dyDescent="0.25">
      <c r="A430" s="11" t="s">
        <v>27</v>
      </c>
      <c r="B430" s="11" t="s">
        <v>28</v>
      </c>
      <c r="C430" s="11" t="s">
        <v>19</v>
      </c>
      <c r="D430" s="12">
        <v>46183</v>
      </c>
      <c r="E430" s="4">
        <v>100000</v>
      </c>
      <c r="F430" s="11" t="s">
        <v>2</v>
      </c>
      <c r="G430" s="12">
        <v>46304</v>
      </c>
      <c r="H430" s="11" t="s">
        <v>6</v>
      </c>
    </row>
    <row r="431" spans="1:8" ht="14.25" hidden="1" customHeight="1" x14ac:dyDescent="0.25">
      <c r="A431" s="11" t="s">
        <v>30</v>
      </c>
      <c r="B431" s="11" t="s">
        <v>31</v>
      </c>
      <c r="C431" s="11" t="s">
        <v>19</v>
      </c>
      <c r="D431" s="12">
        <v>46183</v>
      </c>
      <c r="E431" s="4">
        <v>2201130</v>
      </c>
      <c r="F431" s="11" t="s">
        <v>2</v>
      </c>
      <c r="G431" s="12">
        <v>46183</v>
      </c>
      <c r="H431" s="11" t="s">
        <v>6</v>
      </c>
    </row>
    <row r="432" spans="1:8" ht="14.25" hidden="1" customHeight="1" x14ac:dyDescent="0.25">
      <c r="A432" s="11" t="s">
        <v>30</v>
      </c>
      <c r="B432" s="11" t="s">
        <v>31</v>
      </c>
      <c r="C432" s="11" t="s">
        <v>19</v>
      </c>
      <c r="D432" s="12">
        <v>46184</v>
      </c>
      <c r="E432" s="4">
        <v>2201130</v>
      </c>
      <c r="F432" s="11" t="s">
        <v>2</v>
      </c>
      <c r="G432" s="12">
        <v>46183</v>
      </c>
      <c r="H432" s="11" t="s">
        <v>6</v>
      </c>
    </row>
    <row r="433" spans="1:8" ht="14.25" hidden="1" customHeight="1" x14ac:dyDescent="0.25">
      <c r="A433" s="11" t="s">
        <v>26</v>
      </c>
      <c r="B433" s="11">
        <v>894509</v>
      </c>
      <c r="C433" s="11" t="s">
        <v>19</v>
      </c>
      <c r="D433" s="12">
        <v>46185</v>
      </c>
      <c r="E433" s="4">
        <v>302771</v>
      </c>
      <c r="F433" s="11" t="s">
        <v>2</v>
      </c>
      <c r="G433" s="12">
        <v>46186</v>
      </c>
      <c r="H433" s="11" t="s">
        <v>6</v>
      </c>
    </row>
    <row r="434" spans="1:8" ht="14.25" customHeight="1" x14ac:dyDescent="0.25">
      <c r="A434" s="11" t="s">
        <v>14</v>
      </c>
      <c r="B434" s="11" t="s">
        <v>15</v>
      </c>
      <c r="C434" s="11" t="s">
        <v>186</v>
      </c>
      <c r="D434" s="12">
        <v>46186</v>
      </c>
      <c r="E434" s="4">
        <v>66200</v>
      </c>
      <c r="F434" s="11" t="s">
        <v>3</v>
      </c>
      <c r="G434" s="12">
        <v>46244</v>
      </c>
      <c r="H434" s="11" t="s">
        <v>7</v>
      </c>
    </row>
    <row r="435" spans="1:8" ht="14.25" customHeight="1" x14ac:dyDescent="0.25">
      <c r="A435" s="11" t="s">
        <v>14</v>
      </c>
      <c r="B435" s="11" t="s">
        <v>15</v>
      </c>
      <c r="C435" s="11" t="s">
        <v>189</v>
      </c>
      <c r="D435" s="12">
        <v>46186</v>
      </c>
      <c r="E435" s="4">
        <v>919250</v>
      </c>
      <c r="F435" s="11" t="s">
        <v>3</v>
      </c>
      <c r="G435" s="12">
        <v>46244</v>
      </c>
      <c r="H435" s="11" t="s">
        <v>7</v>
      </c>
    </row>
    <row r="436" spans="1:8" ht="14.25" customHeight="1" x14ac:dyDescent="0.25">
      <c r="A436" s="11" t="s">
        <v>14</v>
      </c>
      <c r="B436" s="11" t="s">
        <v>15</v>
      </c>
      <c r="C436" s="11" t="s">
        <v>187</v>
      </c>
      <c r="D436" s="12">
        <v>46187</v>
      </c>
      <c r="E436" s="4">
        <v>844300</v>
      </c>
      <c r="F436" s="11" t="s">
        <v>3</v>
      </c>
      <c r="G436" s="12">
        <v>46244</v>
      </c>
      <c r="H436" s="11" t="s">
        <v>7</v>
      </c>
    </row>
    <row r="437" spans="1:8" ht="14.25" hidden="1" customHeight="1" x14ac:dyDescent="0.25">
      <c r="A437" s="11" t="s">
        <v>29</v>
      </c>
      <c r="B437" s="11" t="s">
        <v>15</v>
      </c>
      <c r="C437" s="11">
        <v>421995</v>
      </c>
      <c r="D437" s="12">
        <v>46187</v>
      </c>
      <c r="E437" s="8">
        <f>154370*0.88+29330</f>
        <v>165175.6</v>
      </c>
      <c r="F437" s="11" t="s">
        <v>3</v>
      </c>
      <c r="G437" s="12">
        <v>46192</v>
      </c>
      <c r="H437" s="11" t="s">
        <v>7</v>
      </c>
    </row>
    <row r="438" spans="1:8" ht="14.25" hidden="1" customHeight="1" x14ac:dyDescent="0.25">
      <c r="A438" s="11" t="s">
        <v>32</v>
      </c>
      <c r="B438" s="11" t="s">
        <v>15</v>
      </c>
      <c r="C438" s="11">
        <v>12045</v>
      </c>
      <c r="D438" s="12">
        <v>46188</v>
      </c>
      <c r="E438" s="8">
        <f>105181*0.9</f>
        <v>94662.900000000009</v>
      </c>
      <c r="F438" s="11" t="s">
        <v>3</v>
      </c>
      <c r="G438" s="12">
        <v>46190</v>
      </c>
      <c r="H438" s="11" t="s">
        <v>7</v>
      </c>
    </row>
    <row r="439" spans="1:8" ht="14.25" hidden="1" customHeight="1" x14ac:dyDescent="0.25">
      <c r="A439" s="11" t="s">
        <v>118</v>
      </c>
      <c r="B439" s="11" t="s">
        <v>130</v>
      </c>
      <c r="C439" s="11" t="s">
        <v>19</v>
      </c>
      <c r="D439" s="12">
        <v>46188</v>
      </c>
      <c r="E439" s="4">
        <v>500000</v>
      </c>
      <c r="F439" s="33" t="s">
        <v>3</v>
      </c>
      <c r="G439" s="12">
        <v>46233</v>
      </c>
      <c r="H439" s="11" t="s">
        <v>119</v>
      </c>
    </row>
    <row r="440" spans="1:8" ht="14.25" hidden="1" customHeight="1" x14ac:dyDescent="0.25">
      <c r="A440" s="11" t="s">
        <v>29</v>
      </c>
      <c r="B440" s="11" t="s">
        <v>15</v>
      </c>
      <c r="C440" s="11">
        <v>422426</v>
      </c>
      <c r="D440" s="12">
        <v>46188</v>
      </c>
      <c r="E440" s="8">
        <f>925863*0.88</f>
        <v>814759.44000000006</v>
      </c>
      <c r="F440" s="11" t="s">
        <v>3</v>
      </c>
      <c r="G440" s="12">
        <v>46192</v>
      </c>
      <c r="H440" s="11" t="s">
        <v>7</v>
      </c>
    </row>
    <row r="441" spans="1:8" ht="14.25" hidden="1" customHeight="1" x14ac:dyDescent="0.25">
      <c r="A441" s="11" t="s">
        <v>0</v>
      </c>
      <c r="B441" s="11" t="s">
        <v>34</v>
      </c>
      <c r="C441" s="11" t="s">
        <v>19</v>
      </c>
      <c r="D441" s="12">
        <v>46188</v>
      </c>
      <c r="E441" s="4">
        <v>1500000</v>
      </c>
      <c r="F441" s="11" t="s">
        <v>2</v>
      </c>
      <c r="G441" s="12">
        <v>46188</v>
      </c>
      <c r="H441" s="11" t="s">
        <v>6</v>
      </c>
    </row>
    <row r="442" spans="1:8" ht="14.25" hidden="1" customHeight="1" x14ac:dyDescent="0.25">
      <c r="A442" s="11" t="s">
        <v>1</v>
      </c>
      <c r="B442" s="11" t="s">
        <v>34</v>
      </c>
      <c r="C442" s="11" t="s">
        <v>19</v>
      </c>
      <c r="D442" s="12">
        <v>46188</v>
      </c>
      <c r="E442" s="4">
        <v>1500000</v>
      </c>
      <c r="F442" s="11" t="s">
        <v>2</v>
      </c>
      <c r="G442" s="12">
        <v>46188</v>
      </c>
      <c r="H442" s="11" t="s">
        <v>6</v>
      </c>
    </row>
    <row r="443" spans="1:8" ht="14.25" hidden="1" customHeight="1" x14ac:dyDescent="0.25">
      <c r="A443" s="11" t="s">
        <v>112</v>
      </c>
      <c r="B443" s="11" t="s">
        <v>34</v>
      </c>
      <c r="C443" s="11" t="s">
        <v>19</v>
      </c>
      <c r="D443" s="12">
        <v>46188</v>
      </c>
      <c r="E443" s="4">
        <v>150000</v>
      </c>
      <c r="F443" s="11" t="s">
        <v>3</v>
      </c>
      <c r="G443" s="12">
        <v>46188</v>
      </c>
      <c r="H443" s="11" t="s">
        <v>6</v>
      </c>
    </row>
    <row r="444" spans="1:8" ht="14.25" hidden="1" customHeight="1" x14ac:dyDescent="0.25">
      <c r="A444" s="11" t="s">
        <v>163</v>
      </c>
      <c r="B444" s="11" t="s">
        <v>34</v>
      </c>
      <c r="C444" s="11" t="s">
        <v>19</v>
      </c>
      <c r="D444" s="12">
        <v>46188</v>
      </c>
      <c r="E444" s="4">
        <v>150000</v>
      </c>
      <c r="F444" s="11" t="s">
        <v>3</v>
      </c>
      <c r="G444" s="12">
        <v>46188</v>
      </c>
      <c r="H444" s="11" t="s">
        <v>119</v>
      </c>
    </row>
    <row r="445" spans="1:8" ht="14.25" hidden="1" customHeight="1" x14ac:dyDescent="0.25">
      <c r="A445" s="11" t="s">
        <v>163</v>
      </c>
      <c r="B445" s="11" t="s">
        <v>34</v>
      </c>
      <c r="C445" s="11" t="s">
        <v>193</v>
      </c>
      <c r="D445" s="12">
        <v>46188</v>
      </c>
      <c r="E445" s="4">
        <v>150000</v>
      </c>
      <c r="F445" s="11" t="s">
        <v>3</v>
      </c>
      <c r="G445" s="12">
        <v>46188</v>
      </c>
      <c r="H445" s="11" t="s">
        <v>119</v>
      </c>
    </row>
    <row r="446" spans="1:8" ht="14.25" hidden="1" customHeight="1" x14ac:dyDescent="0.25">
      <c r="A446" s="11" t="s">
        <v>112</v>
      </c>
      <c r="B446" s="11" t="s">
        <v>34</v>
      </c>
      <c r="C446" s="11" t="s">
        <v>193</v>
      </c>
      <c r="D446" s="12">
        <v>46188</v>
      </c>
      <c r="E446" s="4">
        <v>150000</v>
      </c>
      <c r="F446" s="11" t="s">
        <v>3</v>
      </c>
      <c r="G446" s="12">
        <v>46188</v>
      </c>
      <c r="H446" s="11" t="s">
        <v>119</v>
      </c>
    </row>
    <row r="447" spans="1:8" ht="14.25" customHeight="1" x14ac:dyDescent="0.25">
      <c r="A447" s="11" t="s">
        <v>14</v>
      </c>
      <c r="B447" s="11" t="s">
        <v>15</v>
      </c>
      <c r="C447" s="11" t="s">
        <v>188</v>
      </c>
      <c r="D447" s="12">
        <v>46191</v>
      </c>
      <c r="E447" s="4">
        <v>1030310</v>
      </c>
      <c r="F447" s="11" t="s">
        <v>3</v>
      </c>
      <c r="G447" s="12">
        <v>46244</v>
      </c>
      <c r="H447" s="11" t="s">
        <v>7</v>
      </c>
    </row>
    <row r="448" spans="1:8" ht="14.25" customHeight="1" x14ac:dyDescent="0.25">
      <c r="A448" s="11" t="s">
        <v>14</v>
      </c>
      <c r="B448" s="11" t="s">
        <v>15</v>
      </c>
      <c r="C448" s="11" t="s">
        <v>211</v>
      </c>
      <c r="D448" s="12">
        <v>46191</v>
      </c>
      <c r="E448" s="4">
        <f>1920800-380098</f>
        <v>1540702</v>
      </c>
      <c r="F448" s="11" t="s">
        <v>2</v>
      </c>
      <c r="G448" s="12">
        <v>46246</v>
      </c>
      <c r="H448" s="11" t="s">
        <v>7</v>
      </c>
    </row>
    <row r="449" spans="1:9" ht="13.5" hidden="1" customHeight="1" x14ac:dyDescent="0.25">
      <c r="A449" s="11" t="s">
        <v>29</v>
      </c>
      <c r="B449" s="11" t="s">
        <v>15</v>
      </c>
      <c r="C449" s="11">
        <v>422961</v>
      </c>
      <c r="D449" s="12">
        <v>46191</v>
      </c>
      <c r="E449" s="8">
        <f>141357*0.88</f>
        <v>124394.16</v>
      </c>
      <c r="F449" s="11" t="s">
        <v>3</v>
      </c>
      <c r="G449" s="12">
        <v>46192</v>
      </c>
      <c r="H449" s="11" t="s">
        <v>7</v>
      </c>
      <c r="I449" s="34"/>
    </row>
    <row r="450" spans="1:9" ht="13.5" hidden="1" customHeight="1" x14ac:dyDescent="0.25">
      <c r="A450" s="11" t="s">
        <v>29</v>
      </c>
      <c r="B450" s="11" t="s">
        <v>15</v>
      </c>
      <c r="C450" s="11">
        <v>422963</v>
      </c>
      <c r="D450" s="12">
        <v>46191</v>
      </c>
      <c r="E450" s="4">
        <v>1227668</v>
      </c>
      <c r="F450" s="11" t="s">
        <v>2</v>
      </c>
      <c r="G450" s="12">
        <v>46204</v>
      </c>
      <c r="H450" s="11" t="s">
        <v>7</v>
      </c>
    </row>
    <row r="451" spans="1:9" ht="13.5" customHeight="1" x14ac:dyDescent="0.25">
      <c r="A451" s="33" t="s">
        <v>14</v>
      </c>
      <c r="B451" s="11" t="s">
        <v>15</v>
      </c>
      <c r="C451" s="11" t="s">
        <v>212</v>
      </c>
      <c r="D451" s="12">
        <v>46193</v>
      </c>
      <c r="E451" s="4">
        <v>1165700</v>
      </c>
      <c r="F451" s="11" t="s">
        <v>3</v>
      </c>
      <c r="G451" s="12">
        <v>46246</v>
      </c>
      <c r="H451" s="11" t="s">
        <v>7</v>
      </c>
    </row>
    <row r="452" spans="1:9" ht="13.5" customHeight="1" x14ac:dyDescent="0.25">
      <c r="A452" s="11" t="s">
        <v>14</v>
      </c>
      <c r="B452" s="11" t="s">
        <v>15</v>
      </c>
      <c r="C452" s="11" t="s">
        <v>190</v>
      </c>
      <c r="D452" s="12">
        <v>46194</v>
      </c>
      <c r="E452" s="4">
        <v>1025900</v>
      </c>
      <c r="F452" s="11" t="s">
        <v>2</v>
      </c>
      <c r="G452" s="12">
        <v>46253</v>
      </c>
      <c r="H452" s="11" t="s">
        <v>7</v>
      </c>
    </row>
    <row r="453" spans="1:9" ht="13.5" customHeight="1" x14ac:dyDescent="0.25">
      <c r="A453" s="11" t="s">
        <v>14</v>
      </c>
      <c r="B453" s="11" t="s">
        <v>15</v>
      </c>
      <c r="C453" s="11" t="s">
        <v>213</v>
      </c>
      <c r="D453" s="12">
        <v>46195</v>
      </c>
      <c r="E453" s="4">
        <v>338000</v>
      </c>
      <c r="F453" s="11" t="s">
        <v>2</v>
      </c>
      <c r="G453" s="12">
        <v>46253</v>
      </c>
      <c r="H453" s="11" t="s">
        <v>7</v>
      </c>
    </row>
    <row r="454" spans="1:9" ht="13.5" customHeight="1" x14ac:dyDescent="0.25">
      <c r="A454" s="11" t="s">
        <v>14</v>
      </c>
      <c r="B454" s="11" t="s">
        <v>15</v>
      </c>
      <c r="C454" s="11" t="s">
        <v>214</v>
      </c>
      <c r="D454" s="12">
        <v>46195</v>
      </c>
      <c r="E454" s="4">
        <v>238800</v>
      </c>
      <c r="F454" s="11" t="s">
        <v>2</v>
      </c>
      <c r="G454" s="12">
        <v>46253</v>
      </c>
      <c r="H454" s="11" t="s">
        <v>7</v>
      </c>
    </row>
    <row r="455" spans="1:9" ht="13.5" customHeight="1" x14ac:dyDescent="0.25">
      <c r="A455" s="11" t="s">
        <v>14</v>
      </c>
      <c r="B455" s="11" t="s">
        <v>15</v>
      </c>
      <c r="C455" s="11" t="s">
        <v>215</v>
      </c>
      <c r="D455" s="12">
        <v>46197</v>
      </c>
      <c r="E455" s="4">
        <v>661200</v>
      </c>
      <c r="F455" s="11" t="s">
        <v>2</v>
      </c>
      <c r="G455" s="12">
        <v>46253</v>
      </c>
      <c r="H455" s="11" t="s">
        <v>7</v>
      </c>
    </row>
    <row r="456" spans="1:9" ht="13.5" hidden="1" customHeight="1" x14ac:dyDescent="0.25">
      <c r="A456" s="11" t="s">
        <v>39</v>
      </c>
      <c r="B456" s="11" t="s">
        <v>15</v>
      </c>
      <c r="C456" s="11">
        <v>474494</v>
      </c>
      <c r="D456" s="12">
        <v>46198</v>
      </c>
      <c r="E456" s="8">
        <v>213239</v>
      </c>
      <c r="F456" s="11" t="s">
        <v>2</v>
      </c>
      <c r="G456" s="12">
        <v>46199</v>
      </c>
      <c r="H456" s="11" t="s">
        <v>7</v>
      </c>
    </row>
    <row r="457" spans="1:9" ht="13.5" customHeight="1" x14ac:dyDescent="0.25">
      <c r="A457" s="11" t="s">
        <v>14</v>
      </c>
      <c r="B457" s="11" t="s">
        <v>15</v>
      </c>
      <c r="C457" s="11" t="s">
        <v>216</v>
      </c>
      <c r="D457" s="12">
        <v>46198</v>
      </c>
      <c r="E457" s="4">
        <v>848000</v>
      </c>
      <c r="F457" s="11" t="s">
        <v>2</v>
      </c>
      <c r="G457" s="12">
        <v>46253</v>
      </c>
      <c r="H457" s="11" t="s">
        <v>7</v>
      </c>
    </row>
    <row r="458" spans="1:9" ht="13.5" hidden="1" customHeight="1" x14ac:dyDescent="0.25">
      <c r="A458" s="11" t="s">
        <v>29</v>
      </c>
      <c r="B458" s="11" t="s">
        <v>15</v>
      </c>
      <c r="C458" s="11">
        <v>425547</v>
      </c>
      <c r="D458" s="12">
        <v>46198</v>
      </c>
      <c r="E458" s="8">
        <f>340124*0.88+45101</f>
        <v>344410.12</v>
      </c>
      <c r="F458" s="11" t="s">
        <v>2</v>
      </c>
      <c r="G458" s="12">
        <v>46199</v>
      </c>
      <c r="H458" s="11" t="s">
        <v>7</v>
      </c>
    </row>
    <row r="459" spans="1:9" ht="13.5" hidden="1" customHeight="1" x14ac:dyDescent="0.25">
      <c r="A459" s="11" t="s">
        <v>29</v>
      </c>
      <c r="B459" s="11" t="s">
        <v>15</v>
      </c>
      <c r="C459" s="11">
        <v>425574</v>
      </c>
      <c r="D459" s="12">
        <v>46198</v>
      </c>
      <c r="E459" s="4">
        <v>778152</v>
      </c>
      <c r="F459" s="11" t="s">
        <v>2</v>
      </c>
      <c r="G459" s="12">
        <v>46204</v>
      </c>
      <c r="H459" s="11" t="s">
        <v>7</v>
      </c>
    </row>
    <row r="460" spans="1:9" ht="13.5" hidden="1" customHeight="1" x14ac:dyDescent="0.25">
      <c r="A460" s="11" t="s">
        <v>29</v>
      </c>
      <c r="B460" s="11" t="s">
        <v>15</v>
      </c>
      <c r="C460" s="11">
        <v>425576</v>
      </c>
      <c r="D460" s="12">
        <v>46198</v>
      </c>
      <c r="E460" s="8">
        <f>1616242*0.88</f>
        <v>1422292.96</v>
      </c>
      <c r="F460" s="11" t="s">
        <v>2</v>
      </c>
      <c r="G460" s="12">
        <v>46204</v>
      </c>
      <c r="H460" s="11" t="s">
        <v>7</v>
      </c>
    </row>
    <row r="461" spans="1:9" ht="13.5" customHeight="1" x14ac:dyDescent="0.25">
      <c r="A461" s="11" t="s">
        <v>14</v>
      </c>
      <c r="B461" s="11" t="s">
        <v>15</v>
      </c>
      <c r="C461" s="11" t="s">
        <v>217</v>
      </c>
      <c r="D461" s="12">
        <v>46200</v>
      </c>
      <c r="E461" s="4">
        <v>402300</v>
      </c>
      <c r="F461" s="11" t="s">
        <v>3</v>
      </c>
      <c r="G461" s="12">
        <v>46253</v>
      </c>
      <c r="H461" s="11" t="s">
        <v>7</v>
      </c>
    </row>
    <row r="462" spans="1:9" ht="13.5" customHeight="1" x14ac:dyDescent="0.25">
      <c r="A462" s="11" t="s">
        <v>14</v>
      </c>
      <c r="B462" s="11" t="s">
        <v>15</v>
      </c>
      <c r="C462" s="11" t="s">
        <v>218</v>
      </c>
      <c r="D462" s="12">
        <v>46201</v>
      </c>
      <c r="E462" s="4">
        <v>673070</v>
      </c>
      <c r="F462" s="11" t="s">
        <v>3</v>
      </c>
      <c r="G462" s="12">
        <v>46253</v>
      </c>
      <c r="H462" s="11" t="s">
        <v>7</v>
      </c>
    </row>
    <row r="463" spans="1:9" ht="13.5" customHeight="1" x14ac:dyDescent="0.25">
      <c r="A463" s="11" t="s">
        <v>14</v>
      </c>
      <c r="B463" s="11" t="s">
        <v>15</v>
      </c>
      <c r="C463" s="11" t="s">
        <v>219</v>
      </c>
      <c r="D463" s="12">
        <v>46201</v>
      </c>
      <c r="E463" s="4">
        <v>901200</v>
      </c>
      <c r="F463" s="11" t="s">
        <v>3</v>
      </c>
      <c r="G463" s="12">
        <v>46253</v>
      </c>
      <c r="H463" s="11" t="s">
        <v>7</v>
      </c>
    </row>
    <row r="464" spans="1:9" ht="13.5" hidden="1" customHeight="1" x14ac:dyDescent="0.25">
      <c r="A464" s="11" t="s">
        <v>0</v>
      </c>
      <c r="B464" s="11" t="s">
        <v>34</v>
      </c>
      <c r="C464" s="11" t="s">
        <v>19</v>
      </c>
      <c r="D464" s="12">
        <v>46203</v>
      </c>
      <c r="E464" s="4">
        <v>1500000</v>
      </c>
      <c r="F464" s="11" t="s">
        <v>2</v>
      </c>
      <c r="G464" s="12">
        <v>46209</v>
      </c>
      <c r="H464" s="11" t="s">
        <v>119</v>
      </c>
    </row>
    <row r="465" spans="1:8" ht="13.5" hidden="1" customHeight="1" x14ac:dyDescent="0.25">
      <c r="A465" s="11" t="s">
        <v>1</v>
      </c>
      <c r="B465" s="11" t="s">
        <v>34</v>
      </c>
      <c r="C465" s="11" t="s">
        <v>19</v>
      </c>
      <c r="D465" s="12">
        <v>46203</v>
      </c>
      <c r="E465" s="4">
        <v>1500000</v>
      </c>
      <c r="F465" s="11" t="s">
        <v>2</v>
      </c>
      <c r="G465" s="12">
        <v>46209</v>
      </c>
      <c r="H465" s="11" t="s">
        <v>119</v>
      </c>
    </row>
    <row r="466" spans="1:8" ht="13.5" hidden="1" customHeight="1" x14ac:dyDescent="0.25">
      <c r="A466" s="11" t="s">
        <v>33</v>
      </c>
      <c r="B466" s="11" t="s">
        <v>34</v>
      </c>
      <c r="C466" s="11" t="s">
        <v>19</v>
      </c>
      <c r="D466" s="12">
        <v>46203</v>
      </c>
      <c r="E466" s="4">
        <v>150000</v>
      </c>
      <c r="F466" s="11" t="s">
        <v>3</v>
      </c>
      <c r="G466" s="12">
        <v>46203</v>
      </c>
      <c r="H466" s="11" t="s">
        <v>6</v>
      </c>
    </row>
    <row r="467" spans="1:8" ht="13.5" hidden="1" customHeight="1" x14ac:dyDescent="0.25">
      <c r="A467" s="11" t="s">
        <v>90</v>
      </c>
      <c r="B467" s="11" t="s">
        <v>34</v>
      </c>
      <c r="C467" s="11" t="s">
        <v>19</v>
      </c>
      <c r="D467" s="12">
        <v>46203</v>
      </c>
      <c r="E467" s="4">
        <v>150000</v>
      </c>
      <c r="F467" s="11" t="s">
        <v>3</v>
      </c>
      <c r="G467" s="12">
        <v>46203</v>
      </c>
      <c r="H467" s="11" t="s">
        <v>6</v>
      </c>
    </row>
    <row r="468" spans="1:8" ht="13.5" hidden="1" customHeight="1" x14ac:dyDescent="0.25">
      <c r="A468" s="11" t="s">
        <v>118</v>
      </c>
      <c r="B468" s="11" t="s">
        <v>130</v>
      </c>
      <c r="C468" s="11" t="s">
        <v>19</v>
      </c>
      <c r="D468" s="12">
        <v>46203</v>
      </c>
      <c r="E468" s="4">
        <v>500000</v>
      </c>
      <c r="F468" s="33" t="s">
        <v>3</v>
      </c>
      <c r="G468" s="12">
        <v>46245</v>
      </c>
      <c r="H468" s="11" t="s">
        <v>119</v>
      </c>
    </row>
    <row r="469" spans="1:8" ht="13.5" customHeight="1" x14ac:dyDescent="0.25">
      <c r="A469" s="11" t="s">
        <v>14</v>
      </c>
      <c r="B469" s="11" t="s">
        <v>15</v>
      </c>
      <c r="C469" s="11" t="s">
        <v>220</v>
      </c>
      <c r="D469" s="12">
        <v>46204</v>
      </c>
      <c r="E469" s="4">
        <v>605200</v>
      </c>
      <c r="F469" s="11" t="s">
        <v>2</v>
      </c>
      <c r="G469" s="12">
        <v>46258</v>
      </c>
      <c r="H469" s="11" t="s">
        <v>7</v>
      </c>
    </row>
    <row r="470" spans="1:8" ht="13.5" customHeight="1" x14ac:dyDescent="0.25">
      <c r="A470" s="11" t="s">
        <v>14</v>
      </c>
      <c r="B470" s="11" t="s">
        <v>15</v>
      </c>
      <c r="C470" s="11" t="s">
        <v>221</v>
      </c>
      <c r="D470" s="12">
        <v>46207</v>
      </c>
      <c r="E470" s="4">
        <v>1277850</v>
      </c>
      <c r="F470" s="11" t="s">
        <v>2</v>
      </c>
      <c r="G470" s="12">
        <v>46258</v>
      </c>
      <c r="H470" s="11" t="s">
        <v>7</v>
      </c>
    </row>
    <row r="471" spans="1:8" ht="13.5" customHeight="1" x14ac:dyDescent="0.25">
      <c r="A471" s="11" t="s">
        <v>14</v>
      </c>
      <c r="B471" s="11" t="s">
        <v>15</v>
      </c>
      <c r="C471" s="11" t="s">
        <v>222</v>
      </c>
      <c r="D471" s="12">
        <v>46208</v>
      </c>
      <c r="E471" s="4">
        <v>645650</v>
      </c>
      <c r="F471" s="11" t="s">
        <v>3</v>
      </c>
      <c r="G471" s="12">
        <v>46265</v>
      </c>
      <c r="H471" s="11" t="s">
        <v>7</v>
      </c>
    </row>
    <row r="472" spans="1:8" ht="13.5" hidden="1" customHeight="1" x14ac:dyDescent="0.25">
      <c r="A472" s="11" t="s">
        <v>40</v>
      </c>
      <c r="B472" s="11" t="s">
        <v>41</v>
      </c>
      <c r="C472" s="11" t="s">
        <v>20</v>
      </c>
      <c r="D472" s="12">
        <v>46208</v>
      </c>
      <c r="E472" s="4">
        <v>3000000</v>
      </c>
      <c r="F472" s="11" t="s">
        <v>2</v>
      </c>
      <c r="G472" s="12">
        <v>46217</v>
      </c>
      <c r="H472" s="11" t="s">
        <v>6</v>
      </c>
    </row>
    <row r="473" spans="1:8" ht="13.5" customHeight="1" x14ac:dyDescent="0.25">
      <c r="A473" s="11" t="s">
        <v>14</v>
      </c>
      <c r="B473" s="11" t="s">
        <v>15</v>
      </c>
      <c r="C473" s="26" t="s">
        <v>223</v>
      </c>
      <c r="D473" s="12">
        <v>46209</v>
      </c>
      <c r="E473" s="4">
        <v>367500</v>
      </c>
      <c r="F473" s="26" t="s">
        <v>3</v>
      </c>
      <c r="G473" s="12">
        <v>46258</v>
      </c>
      <c r="H473" s="11" t="s">
        <v>7</v>
      </c>
    </row>
    <row r="474" spans="1:8" ht="13.5" customHeight="1" x14ac:dyDescent="0.25">
      <c r="A474" s="11" t="s">
        <v>14</v>
      </c>
      <c r="B474" s="11" t="s">
        <v>15</v>
      </c>
      <c r="C474" s="11" t="s">
        <v>224</v>
      </c>
      <c r="D474" s="12">
        <v>46212</v>
      </c>
      <c r="E474" s="4">
        <v>124200</v>
      </c>
      <c r="F474" s="11" t="s">
        <v>3</v>
      </c>
      <c r="G474" s="12">
        <v>46258</v>
      </c>
      <c r="H474" s="11" t="s">
        <v>7</v>
      </c>
    </row>
    <row r="475" spans="1:8" ht="13.5" customHeight="1" x14ac:dyDescent="0.25">
      <c r="A475" s="11" t="s">
        <v>14</v>
      </c>
      <c r="B475" s="11" t="s">
        <v>15</v>
      </c>
      <c r="C475" s="11" t="s">
        <v>225</v>
      </c>
      <c r="D475" s="12">
        <v>46212</v>
      </c>
      <c r="E475" s="4">
        <v>796850</v>
      </c>
      <c r="F475" s="11" t="s">
        <v>3</v>
      </c>
      <c r="G475" s="12">
        <v>46258</v>
      </c>
      <c r="H475" s="11" t="s">
        <v>7</v>
      </c>
    </row>
    <row r="476" spans="1:8" ht="13.5" hidden="1" customHeight="1" x14ac:dyDescent="0.25">
      <c r="A476" s="11" t="s">
        <v>27</v>
      </c>
      <c r="B476" s="11" t="s">
        <v>28</v>
      </c>
      <c r="C476" s="11" t="s">
        <v>20</v>
      </c>
      <c r="D476" s="12">
        <v>46213</v>
      </c>
      <c r="E476" s="4">
        <v>100000</v>
      </c>
      <c r="F476" s="11" t="s">
        <v>2</v>
      </c>
      <c r="G476" s="12">
        <v>46212</v>
      </c>
      <c r="H476" s="11" t="s">
        <v>6</v>
      </c>
    </row>
    <row r="477" spans="1:8" ht="13.5" hidden="1" customHeight="1" x14ac:dyDescent="0.25">
      <c r="A477" s="11" t="s">
        <v>30</v>
      </c>
      <c r="B477" s="11">
        <v>7714670</v>
      </c>
      <c r="C477" s="11" t="s">
        <v>20</v>
      </c>
      <c r="D477" s="12">
        <v>46213</v>
      </c>
      <c r="E477" s="4">
        <v>2000940</v>
      </c>
      <c r="F477" s="11" t="s">
        <v>3</v>
      </c>
      <c r="G477" s="12">
        <v>46212</v>
      </c>
      <c r="H477" s="11" t="s">
        <v>6</v>
      </c>
    </row>
    <row r="478" spans="1:8" ht="13.5" hidden="1" customHeight="1" x14ac:dyDescent="0.25">
      <c r="A478" s="11" t="s">
        <v>35</v>
      </c>
      <c r="B478" s="11" t="s">
        <v>36</v>
      </c>
      <c r="C478" s="11" t="s">
        <v>20</v>
      </c>
      <c r="D478" s="12">
        <v>46213</v>
      </c>
      <c r="E478" s="4">
        <v>207550</v>
      </c>
      <c r="F478" s="11" t="s">
        <v>2</v>
      </c>
      <c r="G478" s="12">
        <v>46213</v>
      </c>
      <c r="H478" s="11" t="s">
        <v>6</v>
      </c>
    </row>
    <row r="479" spans="1:8" ht="13.5" customHeight="1" x14ac:dyDescent="0.25">
      <c r="A479" s="11" t="s">
        <v>14</v>
      </c>
      <c r="B479" s="11" t="s">
        <v>15</v>
      </c>
      <c r="C479" s="11" t="s">
        <v>226</v>
      </c>
      <c r="D479" s="12">
        <v>46215</v>
      </c>
      <c r="E479" s="4">
        <v>380121</v>
      </c>
      <c r="F479" s="11" t="s">
        <v>3</v>
      </c>
      <c r="G479" s="12">
        <v>46258</v>
      </c>
      <c r="H479" s="11" t="s">
        <v>7</v>
      </c>
    </row>
    <row r="480" spans="1:8" ht="13.5" customHeight="1" x14ac:dyDescent="0.25">
      <c r="A480" s="11" t="s">
        <v>14</v>
      </c>
      <c r="B480" s="11" t="s">
        <v>15</v>
      </c>
      <c r="C480" s="11" t="s">
        <v>227</v>
      </c>
      <c r="D480" s="12">
        <v>46215</v>
      </c>
      <c r="E480" s="4">
        <v>1415800</v>
      </c>
      <c r="F480" s="11" t="s">
        <v>3</v>
      </c>
      <c r="G480" s="12">
        <v>46265</v>
      </c>
      <c r="H480" s="11" t="s">
        <v>7</v>
      </c>
    </row>
    <row r="481" spans="1:8" ht="13.5" hidden="1" customHeight="1" x14ac:dyDescent="0.25">
      <c r="A481" s="11" t="s">
        <v>29</v>
      </c>
      <c r="B481" s="11" t="s">
        <v>15</v>
      </c>
      <c r="C481" s="11">
        <v>431641</v>
      </c>
      <c r="D481" s="12">
        <v>46215</v>
      </c>
      <c r="E481" s="8">
        <f>351308*0.88</f>
        <v>309151.03999999998</v>
      </c>
      <c r="F481" s="11" t="s">
        <v>2</v>
      </c>
      <c r="G481" s="12">
        <v>46220</v>
      </c>
      <c r="H481" s="11" t="s">
        <v>7</v>
      </c>
    </row>
    <row r="482" spans="1:8" ht="13.5" hidden="1" customHeight="1" x14ac:dyDescent="0.25">
      <c r="A482" s="11" t="s">
        <v>29</v>
      </c>
      <c r="B482" s="11" t="s">
        <v>15</v>
      </c>
      <c r="C482" s="11">
        <v>425576</v>
      </c>
      <c r="D482" s="12">
        <v>46215</v>
      </c>
      <c r="E482" s="4">
        <v>683614</v>
      </c>
      <c r="F482" s="11" t="s">
        <v>2</v>
      </c>
      <c r="G482" s="12">
        <v>46204</v>
      </c>
      <c r="H482" s="11" t="s">
        <v>7</v>
      </c>
    </row>
    <row r="483" spans="1:8" ht="13.5" hidden="1" customHeight="1" x14ac:dyDescent="0.25">
      <c r="A483" s="11" t="s">
        <v>29</v>
      </c>
      <c r="B483" s="11" t="s">
        <v>15</v>
      </c>
      <c r="C483" s="11">
        <v>431645</v>
      </c>
      <c r="D483" s="12">
        <v>46215</v>
      </c>
      <c r="E483" s="4">
        <v>683614</v>
      </c>
      <c r="F483" s="11" t="s">
        <v>2</v>
      </c>
      <c r="G483" s="12">
        <v>46220</v>
      </c>
      <c r="H483" s="11" t="s">
        <v>7</v>
      </c>
    </row>
    <row r="484" spans="1:8" ht="13.5" hidden="1" customHeight="1" x14ac:dyDescent="0.25">
      <c r="A484" s="11" t="s">
        <v>26</v>
      </c>
      <c r="B484" s="11">
        <v>894509</v>
      </c>
      <c r="C484" s="11" t="s">
        <v>20</v>
      </c>
      <c r="D484" s="12">
        <v>46216</v>
      </c>
      <c r="E484" s="4">
        <v>291746</v>
      </c>
      <c r="F484" s="11" t="s">
        <v>2</v>
      </c>
      <c r="G484" s="12">
        <v>46216</v>
      </c>
      <c r="H484" s="11" t="s">
        <v>119</v>
      </c>
    </row>
    <row r="485" spans="1:8" ht="13.5" hidden="1" customHeight="1" x14ac:dyDescent="0.25">
      <c r="A485" s="11" t="s">
        <v>0</v>
      </c>
      <c r="B485" s="11" t="s">
        <v>34</v>
      </c>
      <c r="C485" s="11" t="s">
        <v>20</v>
      </c>
      <c r="D485" s="12">
        <v>46218</v>
      </c>
      <c r="E485" s="4">
        <v>1500000</v>
      </c>
      <c r="F485" s="11" t="s">
        <v>2</v>
      </c>
      <c r="G485" s="12">
        <v>46224</v>
      </c>
      <c r="H485" s="11" t="s">
        <v>119</v>
      </c>
    </row>
    <row r="486" spans="1:8" ht="13.5" hidden="1" customHeight="1" x14ac:dyDescent="0.25">
      <c r="A486" s="11" t="s">
        <v>1</v>
      </c>
      <c r="B486" s="11" t="s">
        <v>34</v>
      </c>
      <c r="C486" s="11" t="s">
        <v>20</v>
      </c>
      <c r="D486" s="12">
        <v>46218</v>
      </c>
      <c r="E486" s="4">
        <v>1500000</v>
      </c>
      <c r="F486" s="11"/>
      <c r="G486" s="11"/>
      <c r="H486" s="11"/>
    </row>
    <row r="487" spans="1:8" ht="13.5" hidden="1" customHeight="1" x14ac:dyDescent="0.25">
      <c r="A487" s="11" t="s">
        <v>112</v>
      </c>
      <c r="B487" s="11" t="s">
        <v>34</v>
      </c>
      <c r="C487" s="11" t="s">
        <v>20</v>
      </c>
      <c r="D487" s="12">
        <v>46218</v>
      </c>
      <c r="E487" s="4">
        <v>150000</v>
      </c>
      <c r="F487" s="11" t="s">
        <v>3</v>
      </c>
      <c r="G487" s="12">
        <v>46218</v>
      </c>
      <c r="H487" s="11" t="s">
        <v>119</v>
      </c>
    </row>
    <row r="488" spans="1:8" ht="13.5" hidden="1" customHeight="1" x14ac:dyDescent="0.25">
      <c r="A488" s="11" t="s">
        <v>118</v>
      </c>
      <c r="B488" s="11" t="s">
        <v>130</v>
      </c>
      <c r="C488" s="11" t="s">
        <v>20</v>
      </c>
      <c r="D488" s="12">
        <v>46218</v>
      </c>
      <c r="E488" s="4">
        <v>500000</v>
      </c>
      <c r="F488" s="33" t="s">
        <v>3</v>
      </c>
      <c r="G488" s="12">
        <v>46270</v>
      </c>
      <c r="H488" s="11" t="s">
        <v>119</v>
      </c>
    </row>
    <row r="489" spans="1:8" ht="13.5" hidden="1" customHeight="1" x14ac:dyDescent="0.25">
      <c r="A489" s="11" t="s">
        <v>163</v>
      </c>
      <c r="B489" s="11" t="s">
        <v>34</v>
      </c>
      <c r="C489" s="11" t="s">
        <v>20</v>
      </c>
      <c r="D489" s="12">
        <v>46218</v>
      </c>
      <c r="E489" s="4">
        <v>150000</v>
      </c>
      <c r="F489" s="11" t="s">
        <v>3</v>
      </c>
      <c r="G489" s="12">
        <v>46218</v>
      </c>
      <c r="H489" s="11" t="s">
        <v>119</v>
      </c>
    </row>
    <row r="490" spans="1:8" ht="13.5" customHeight="1" x14ac:dyDescent="0.25">
      <c r="A490" s="11" t="s">
        <v>14</v>
      </c>
      <c r="B490" s="11" t="s">
        <v>15</v>
      </c>
      <c r="C490" s="11" t="s">
        <v>228</v>
      </c>
      <c r="D490" s="12">
        <v>46219</v>
      </c>
      <c r="E490" s="4">
        <v>1616900</v>
      </c>
      <c r="F490" s="11" t="s">
        <v>2</v>
      </c>
      <c r="G490" s="12">
        <v>46265</v>
      </c>
      <c r="H490" s="11" t="s">
        <v>7</v>
      </c>
    </row>
    <row r="491" spans="1:8" ht="13.5" hidden="1" customHeight="1" x14ac:dyDescent="0.25">
      <c r="A491" s="11" t="s">
        <v>32</v>
      </c>
      <c r="B491" s="11" t="s">
        <v>15</v>
      </c>
      <c r="C491" s="11">
        <v>14692</v>
      </c>
      <c r="D491" s="12">
        <v>46219</v>
      </c>
      <c r="E491" s="8">
        <f>(274992-53558.82)*0.9+5410</f>
        <v>204699.86199999999</v>
      </c>
      <c r="F491" s="11" t="s">
        <v>3</v>
      </c>
      <c r="G491" s="12">
        <v>46190</v>
      </c>
      <c r="H491" s="11" t="s">
        <v>7</v>
      </c>
    </row>
    <row r="492" spans="1:8" ht="13.5" customHeight="1" x14ac:dyDescent="0.25">
      <c r="A492" s="11" t="s">
        <v>14</v>
      </c>
      <c r="B492" s="11" t="s">
        <v>15</v>
      </c>
      <c r="C492" s="11" t="s">
        <v>229</v>
      </c>
      <c r="D492" s="12">
        <v>46223</v>
      </c>
      <c r="E492" s="4">
        <v>1455850</v>
      </c>
      <c r="F492" s="11" t="s">
        <v>3</v>
      </c>
      <c r="G492" s="12">
        <v>46272</v>
      </c>
      <c r="H492" s="11" t="s">
        <v>7</v>
      </c>
    </row>
    <row r="493" spans="1:8" ht="13.5" customHeight="1" x14ac:dyDescent="0.25">
      <c r="A493" s="11" t="s">
        <v>14</v>
      </c>
      <c r="B493" s="11" t="s">
        <v>15</v>
      </c>
      <c r="C493" s="11" t="s">
        <v>230</v>
      </c>
      <c r="D493" s="12">
        <v>46226</v>
      </c>
      <c r="E493" s="4">
        <v>906900</v>
      </c>
      <c r="F493" s="11" t="s">
        <v>2</v>
      </c>
      <c r="G493" s="12">
        <v>46275</v>
      </c>
      <c r="H493" s="11" t="s">
        <v>7</v>
      </c>
    </row>
    <row r="494" spans="1:8" ht="13.5" customHeight="1" x14ac:dyDescent="0.25">
      <c r="A494" s="11" t="s">
        <v>14</v>
      </c>
      <c r="B494" s="11" t="s">
        <v>15</v>
      </c>
      <c r="C494" s="11" t="s">
        <v>231</v>
      </c>
      <c r="D494" s="12">
        <v>46228</v>
      </c>
      <c r="E494" s="4">
        <v>1289838</v>
      </c>
      <c r="F494" s="33" t="s">
        <v>3</v>
      </c>
      <c r="G494" s="12">
        <v>46275</v>
      </c>
      <c r="H494" s="11" t="s">
        <v>7</v>
      </c>
    </row>
    <row r="495" spans="1:8" ht="13.5" customHeight="1" x14ac:dyDescent="0.25">
      <c r="A495" s="11" t="s">
        <v>14</v>
      </c>
      <c r="B495" s="11" t="s">
        <v>15</v>
      </c>
      <c r="C495" s="33" t="s">
        <v>232</v>
      </c>
      <c r="D495" s="12">
        <v>46230</v>
      </c>
      <c r="E495" s="4">
        <v>958920</v>
      </c>
      <c r="F495" s="11" t="s">
        <v>3</v>
      </c>
      <c r="G495" s="12">
        <v>46286</v>
      </c>
      <c r="H495" s="11" t="s">
        <v>7</v>
      </c>
    </row>
    <row r="496" spans="1:8" ht="13.5" hidden="1" customHeight="1" x14ac:dyDescent="0.25">
      <c r="A496" s="11" t="s">
        <v>0</v>
      </c>
      <c r="B496" s="11" t="s">
        <v>34</v>
      </c>
      <c r="C496" s="11" t="s">
        <v>20</v>
      </c>
      <c r="D496" s="12">
        <v>46233</v>
      </c>
      <c r="E496" s="4">
        <v>1500000</v>
      </c>
      <c r="F496" s="11"/>
      <c r="G496" s="11"/>
      <c r="H496" s="11"/>
    </row>
    <row r="497" spans="1:8" ht="13.5" hidden="1" customHeight="1" x14ac:dyDescent="0.25">
      <c r="A497" s="11" t="s">
        <v>1</v>
      </c>
      <c r="B497" s="11" t="s">
        <v>34</v>
      </c>
      <c r="C497" s="11" t="s">
        <v>20</v>
      </c>
      <c r="D497" s="12">
        <v>46233</v>
      </c>
      <c r="E497" s="4">
        <v>1500000</v>
      </c>
      <c r="F497" s="11"/>
      <c r="G497" s="11"/>
      <c r="H497" s="11"/>
    </row>
    <row r="498" spans="1:8" ht="13.5" hidden="1" customHeight="1" x14ac:dyDescent="0.25">
      <c r="A498" s="11" t="s">
        <v>200</v>
      </c>
      <c r="B498" s="11" t="s">
        <v>34</v>
      </c>
      <c r="C498" s="11" t="s">
        <v>20</v>
      </c>
      <c r="D498" s="12">
        <v>46233</v>
      </c>
      <c r="E498" s="4">
        <v>150000</v>
      </c>
      <c r="F498" s="11" t="s">
        <v>3</v>
      </c>
      <c r="G498" s="12">
        <v>46233</v>
      </c>
      <c r="H498" s="11"/>
    </row>
    <row r="499" spans="1:8" ht="13.5" hidden="1" customHeight="1" x14ac:dyDescent="0.25">
      <c r="A499" s="11" t="s">
        <v>163</v>
      </c>
      <c r="B499" s="11" t="s">
        <v>34</v>
      </c>
      <c r="C499" s="11" t="s">
        <v>20</v>
      </c>
      <c r="D499" s="12">
        <v>46233</v>
      </c>
      <c r="E499" s="4">
        <v>150000</v>
      </c>
      <c r="F499" s="11" t="s">
        <v>3</v>
      </c>
      <c r="G499" s="12">
        <v>46233</v>
      </c>
      <c r="H499" s="11"/>
    </row>
    <row r="500" spans="1:8" ht="13.5" customHeight="1" x14ac:dyDescent="0.25">
      <c r="A500" s="11" t="s">
        <v>14</v>
      </c>
      <c r="B500" s="11" t="s">
        <v>15</v>
      </c>
      <c r="C500" s="11" t="s">
        <v>233</v>
      </c>
      <c r="D500" s="12">
        <v>46233</v>
      </c>
      <c r="E500" s="4">
        <v>533600</v>
      </c>
      <c r="F500" s="11" t="s">
        <v>3</v>
      </c>
      <c r="G500" s="12">
        <v>46286</v>
      </c>
      <c r="H500" s="11" t="s">
        <v>7</v>
      </c>
    </row>
    <row r="501" spans="1:8" ht="13.5" hidden="1" customHeight="1" x14ac:dyDescent="0.25">
      <c r="A501" s="11" t="s">
        <v>118</v>
      </c>
      <c r="B501" s="11" t="s">
        <v>130</v>
      </c>
      <c r="C501" s="11" t="s">
        <v>20</v>
      </c>
      <c r="D501" s="12">
        <v>46233</v>
      </c>
      <c r="E501" s="4">
        <v>500000</v>
      </c>
      <c r="F501" s="11"/>
      <c r="G501" s="11"/>
      <c r="H501" s="11" t="s">
        <v>119</v>
      </c>
    </row>
    <row r="502" spans="1:8" ht="13.5" hidden="1" customHeight="1" x14ac:dyDescent="0.25">
      <c r="A502" s="11" t="s">
        <v>29</v>
      </c>
      <c r="B502" s="11" t="s">
        <v>15</v>
      </c>
      <c r="C502" s="11">
        <v>437461</v>
      </c>
      <c r="D502" s="12">
        <v>46234</v>
      </c>
      <c r="E502" s="8">
        <f>1383420*0.88</f>
        <v>1217409.6000000001</v>
      </c>
      <c r="F502" s="11" t="s">
        <v>2</v>
      </c>
      <c r="G502" s="12">
        <v>46234</v>
      </c>
      <c r="H502" s="11" t="s">
        <v>7</v>
      </c>
    </row>
    <row r="503" spans="1:8" ht="13.5" customHeight="1" x14ac:dyDescent="0.25">
      <c r="A503" s="11" t="s">
        <v>14</v>
      </c>
      <c r="B503" s="11" t="s">
        <v>15</v>
      </c>
      <c r="C503" s="11" t="s">
        <v>234</v>
      </c>
      <c r="D503" s="12">
        <v>46235</v>
      </c>
      <c r="E503" s="4">
        <v>1081600</v>
      </c>
      <c r="F503" s="11" t="s">
        <v>3</v>
      </c>
      <c r="G503" s="12">
        <v>46286</v>
      </c>
      <c r="H503" s="11" t="s">
        <v>7</v>
      </c>
    </row>
    <row r="504" spans="1:8" ht="13.5" customHeight="1" x14ac:dyDescent="0.25">
      <c r="A504" s="11" t="s">
        <v>14</v>
      </c>
      <c r="B504" s="11" t="s">
        <v>15</v>
      </c>
      <c r="C504" s="11" t="s">
        <v>235</v>
      </c>
      <c r="D504" s="12">
        <v>46235</v>
      </c>
      <c r="E504" s="4">
        <v>292200</v>
      </c>
      <c r="F504" s="11" t="s">
        <v>3</v>
      </c>
      <c r="G504" s="12">
        <v>46286</v>
      </c>
      <c r="H504" s="11" t="s">
        <v>7</v>
      </c>
    </row>
    <row r="505" spans="1:8" ht="13.5" customHeight="1" x14ac:dyDescent="0.25">
      <c r="A505" s="11" t="s">
        <v>14</v>
      </c>
      <c r="B505" s="11" t="s">
        <v>15</v>
      </c>
      <c r="C505" s="11" t="s">
        <v>236</v>
      </c>
      <c r="D505" s="12">
        <v>46236</v>
      </c>
      <c r="E505" s="4">
        <v>2016450</v>
      </c>
      <c r="F505" s="11" t="s">
        <v>2</v>
      </c>
      <c r="G505" s="12">
        <v>46286</v>
      </c>
      <c r="H505" s="11" t="s">
        <v>7</v>
      </c>
    </row>
    <row r="506" spans="1:8" ht="13.5" customHeight="1" x14ac:dyDescent="0.25">
      <c r="A506" s="11" t="s">
        <v>14</v>
      </c>
      <c r="B506" s="11" t="s">
        <v>15</v>
      </c>
      <c r="C506" s="11" t="s">
        <v>237</v>
      </c>
      <c r="D506" s="12">
        <v>46237</v>
      </c>
      <c r="E506" s="4">
        <v>735300</v>
      </c>
      <c r="F506" s="11" t="s">
        <v>2</v>
      </c>
      <c r="G506" s="12">
        <v>46286</v>
      </c>
      <c r="H506" s="11" t="s">
        <v>7</v>
      </c>
    </row>
    <row r="507" spans="1:8" ht="13.5" customHeight="1" x14ac:dyDescent="0.25">
      <c r="A507" s="11" t="s">
        <v>14</v>
      </c>
      <c r="B507" s="11" t="s">
        <v>15</v>
      </c>
      <c r="C507" s="11" t="s">
        <v>238</v>
      </c>
      <c r="D507" s="12">
        <v>46239</v>
      </c>
      <c r="E507" s="4">
        <v>549750</v>
      </c>
      <c r="F507" s="11" t="s">
        <v>2</v>
      </c>
      <c r="G507" s="12">
        <v>46287</v>
      </c>
      <c r="H507" s="11" t="s">
        <v>7</v>
      </c>
    </row>
    <row r="508" spans="1:8" ht="13.5" hidden="1" customHeight="1" x14ac:dyDescent="0.25">
      <c r="A508" s="11" t="s">
        <v>40</v>
      </c>
      <c r="B508" s="11" t="s">
        <v>41</v>
      </c>
      <c r="C508" s="11" t="s">
        <v>21</v>
      </c>
      <c r="D508" s="12">
        <v>46239</v>
      </c>
      <c r="E508" s="4">
        <v>3000000</v>
      </c>
      <c r="F508" s="11" t="s">
        <v>2</v>
      </c>
      <c r="G508" s="12">
        <v>46244</v>
      </c>
      <c r="H508" s="11" t="s">
        <v>6</v>
      </c>
    </row>
    <row r="509" spans="1:8" ht="13.5" customHeight="1" x14ac:dyDescent="0.25">
      <c r="A509" s="11" t="s">
        <v>14</v>
      </c>
      <c r="B509" s="11" t="s">
        <v>15</v>
      </c>
      <c r="C509" s="11" t="s">
        <v>239</v>
      </c>
      <c r="D509" s="12">
        <v>46242</v>
      </c>
      <c r="E509" s="4">
        <v>768026</v>
      </c>
      <c r="F509" s="11" t="s">
        <v>2</v>
      </c>
      <c r="G509" s="12">
        <v>46287</v>
      </c>
      <c r="H509" s="11" t="s">
        <v>7</v>
      </c>
    </row>
    <row r="510" spans="1:8" ht="13.5" hidden="1" customHeight="1" x14ac:dyDescent="0.25">
      <c r="A510" s="11" t="s">
        <v>29</v>
      </c>
      <c r="B510" s="11" t="s">
        <v>15</v>
      </c>
      <c r="C510" s="11">
        <v>441343</v>
      </c>
      <c r="D510" s="12">
        <v>46242</v>
      </c>
      <c r="E510" s="4">
        <v>300259</v>
      </c>
      <c r="F510" s="11" t="s">
        <v>2</v>
      </c>
      <c r="G510" s="12">
        <v>46244</v>
      </c>
      <c r="H510" s="11" t="s">
        <v>7</v>
      </c>
    </row>
    <row r="511" spans="1:8" ht="13.5" hidden="1" customHeight="1" x14ac:dyDescent="0.25">
      <c r="A511" s="11" t="s">
        <v>29</v>
      </c>
      <c r="B511" s="11" t="s">
        <v>154</v>
      </c>
      <c r="C511" s="11">
        <v>441358</v>
      </c>
      <c r="D511" s="12">
        <v>46242</v>
      </c>
      <c r="E511" s="8">
        <f>170167*0.88+32332</f>
        <v>182078.96</v>
      </c>
      <c r="F511" s="11" t="s">
        <v>2</v>
      </c>
      <c r="G511" s="12">
        <v>46244</v>
      </c>
      <c r="H511" s="11" t="s">
        <v>7</v>
      </c>
    </row>
    <row r="512" spans="1:8" ht="13.5" hidden="1" customHeight="1" x14ac:dyDescent="0.25">
      <c r="A512" s="11" t="s">
        <v>29</v>
      </c>
      <c r="B512" s="11" t="s">
        <v>154</v>
      </c>
      <c r="C512" s="11">
        <v>441551</v>
      </c>
      <c r="D512" s="12">
        <v>46243</v>
      </c>
      <c r="E512" s="8">
        <f>144002*0.88+27360</f>
        <v>154081.76</v>
      </c>
      <c r="F512" s="11" t="s">
        <v>2</v>
      </c>
      <c r="G512" s="12">
        <v>46244</v>
      </c>
      <c r="H512" s="11" t="s">
        <v>7</v>
      </c>
    </row>
    <row r="513" spans="1:8" ht="13.5" customHeight="1" x14ac:dyDescent="0.25">
      <c r="A513" s="11" t="s">
        <v>14</v>
      </c>
      <c r="B513" s="11" t="s">
        <v>15</v>
      </c>
      <c r="C513" s="11" t="s">
        <v>240</v>
      </c>
      <c r="D513" s="12">
        <v>46243</v>
      </c>
      <c r="E513" s="4">
        <v>838350</v>
      </c>
      <c r="F513" s="11" t="s">
        <v>3</v>
      </c>
      <c r="G513" s="12">
        <v>46287</v>
      </c>
      <c r="H513" s="11" t="s">
        <v>7</v>
      </c>
    </row>
    <row r="514" spans="1:8" ht="13.5" hidden="1" customHeight="1" x14ac:dyDescent="0.25">
      <c r="A514" s="11" t="s">
        <v>27</v>
      </c>
      <c r="B514" s="11" t="s">
        <v>28</v>
      </c>
      <c r="C514" s="11" t="s">
        <v>21</v>
      </c>
      <c r="D514" s="12">
        <v>46244</v>
      </c>
      <c r="E514" s="4">
        <v>100000</v>
      </c>
      <c r="F514" s="11" t="s">
        <v>2</v>
      </c>
      <c r="G514" s="12">
        <v>46242</v>
      </c>
      <c r="H514" s="11"/>
    </row>
    <row r="515" spans="1:8" ht="13.5" customHeight="1" x14ac:dyDescent="0.25">
      <c r="A515" s="11" t="s">
        <v>14</v>
      </c>
      <c r="B515" s="11" t="s">
        <v>15</v>
      </c>
      <c r="C515" s="11" t="s">
        <v>241</v>
      </c>
      <c r="D515" s="12">
        <v>46244</v>
      </c>
      <c r="E515" s="4">
        <v>462700</v>
      </c>
      <c r="F515" s="11"/>
      <c r="G515" s="11"/>
      <c r="H515" s="11" t="s">
        <v>7</v>
      </c>
    </row>
    <row r="516" spans="1:8" ht="13.5" hidden="1" customHeight="1" x14ac:dyDescent="0.25">
      <c r="A516" s="11" t="s">
        <v>30</v>
      </c>
      <c r="B516" s="11" t="s">
        <v>31</v>
      </c>
      <c r="C516" s="11">
        <v>7714670</v>
      </c>
      <c r="D516" s="12">
        <v>46244</v>
      </c>
      <c r="E516" s="4">
        <v>2364850</v>
      </c>
      <c r="F516" s="11" t="s">
        <v>3</v>
      </c>
      <c r="G516" s="12">
        <v>46244</v>
      </c>
      <c r="H516" s="11" t="s">
        <v>6</v>
      </c>
    </row>
    <row r="517" spans="1:8" ht="13.5" hidden="1" customHeight="1" x14ac:dyDescent="0.25">
      <c r="A517" s="11" t="s">
        <v>26</v>
      </c>
      <c r="B517" s="11">
        <v>894509</v>
      </c>
      <c r="C517" s="11" t="s">
        <v>21</v>
      </c>
      <c r="D517" s="12">
        <v>46247</v>
      </c>
      <c r="E517" s="4">
        <v>304187</v>
      </c>
      <c r="F517" s="11" t="s">
        <v>3</v>
      </c>
      <c r="G517" s="12">
        <v>46247</v>
      </c>
      <c r="H517" s="11" t="s">
        <v>119</v>
      </c>
    </row>
    <row r="518" spans="1:8" ht="13.5" customHeight="1" x14ac:dyDescent="0.25">
      <c r="A518" s="11" t="s">
        <v>14</v>
      </c>
      <c r="B518" s="11" t="s">
        <v>15</v>
      </c>
      <c r="C518" s="11" t="s">
        <v>242</v>
      </c>
      <c r="D518" s="12">
        <v>46247</v>
      </c>
      <c r="E518" s="4">
        <v>909830</v>
      </c>
      <c r="F518" s="11"/>
      <c r="G518" s="11"/>
      <c r="H518" s="11" t="s">
        <v>7</v>
      </c>
    </row>
    <row r="519" spans="1:8" ht="13.5" hidden="1" customHeight="1" x14ac:dyDescent="0.25">
      <c r="A519" s="11" t="s">
        <v>35</v>
      </c>
      <c r="B519" s="11" t="s">
        <v>36</v>
      </c>
      <c r="C519" s="11" t="s">
        <v>21</v>
      </c>
      <c r="D519" s="12">
        <v>46249</v>
      </c>
      <c r="E519" s="4">
        <v>119400</v>
      </c>
      <c r="F519" s="11" t="s">
        <v>2</v>
      </c>
      <c r="G519" s="12">
        <v>46265</v>
      </c>
      <c r="H519" s="11" t="s">
        <v>6</v>
      </c>
    </row>
    <row r="520" spans="1:8" ht="13.5" hidden="1" customHeight="1" x14ac:dyDescent="0.25">
      <c r="A520" s="11" t="s">
        <v>0</v>
      </c>
      <c r="B520" s="11" t="s">
        <v>34</v>
      </c>
      <c r="C520" s="11" t="s">
        <v>21</v>
      </c>
      <c r="D520" s="12">
        <v>46249</v>
      </c>
      <c r="E520" s="4">
        <f>1083167*1.25</f>
        <v>1353958.75</v>
      </c>
      <c r="F520" s="11"/>
      <c r="G520" s="11"/>
      <c r="H520" s="11"/>
    </row>
    <row r="521" spans="1:8" ht="13.5" hidden="1" customHeight="1" x14ac:dyDescent="0.25">
      <c r="A521" s="11" t="s">
        <v>1</v>
      </c>
      <c r="B521" s="11" t="s">
        <v>34</v>
      </c>
      <c r="C521" s="11" t="s">
        <v>21</v>
      </c>
      <c r="D521" s="12">
        <v>46249</v>
      </c>
      <c r="E521" s="4">
        <f>1083167*1.25</f>
        <v>1353958.75</v>
      </c>
      <c r="F521" s="11"/>
      <c r="G521" s="11"/>
      <c r="H521" s="11"/>
    </row>
    <row r="522" spans="1:8" ht="13.5" hidden="1" customHeight="1" x14ac:dyDescent="0.25">
      <c r="A522" s="11" t="s">
        <v>33</v>
      </c>
      <c r="B522" s="11" t="s">
        <v>34</v>
      </c>
      <c r="C522" s="11" t="s">
        <v>21</v>
      </c>
      <c r="D522" s="12">
        <v>46249</v>
      </c>
      <c r="E522" s="4">
        <v>210000</v>
      </c>
      <c r="F522" s="11"/>
      <c r="G522" s="11"/>
      <c r="H522" s="11"/>
    </row>
    <row r="523" spans="1:8" ht="13.5" hidden="1" customHeight="1" x14ac:dyDescent="0.25">
      <c r="A523" s="11" t="s">
        <v>90</v>
      </c>
      <c r="B523" s="11" t="s">
        <v>34</v>
      </c>
      <c r="C523" s="11" t="s">
        <v>21</v>
      </c>
      <c r="D523" s="12">
        <v>46249</v>
      </c>
      <c r="E523" s="4">
        <v>210000</v>
      </c>
      <c r="F523" s="11"/>
      <c r="G523" s="11"/>
      <c r="H523" s="11"/>
    </row>
    <row r="524" spans="1:8" ht="13.5" hidden="1" customHeight="1" x14ac:dyDescent="0.25">
      <c r="A524" s="11" t="s">
        <v>118</v>
      </c>
      <c r="B524" s="11" t="s">
        <v>130</v>
      </c>
      <c r="C524" s="11" t="s">
        <v>21</v>
      </c>
      <c r="D524" s="12">
        <v>46249</v>
      </c>
      <c r="E524" s="4">
        <v>500000</v>
      </c>
      <c r="F524" s="11"/>
      <c r="G524" s="11"/>
      <c r="H524" s="11" t="s">
        <v>119</v>
      </c>
    </row>
    <row r="525" spans="1:8" ht="13.5" customHeight="1" x14ac:dyDescent="0.25">
      <c r="A525" s="11" t="s">
        <v>14</v>
      </c>
      <c r="B525" s="11" t="s">
        <v>15</v>
      </c>
      <c r="C525" s="11" t="s">
        <v>243</v>
      </c>
      <c r="D525" s="12">
        <v>46250</v>
      </c>
      <c r="E525" s="4">
        <v>1685630</v>
      </c>
      <c r="F525" s="11"/>
      <c r="G525" s="11"/>
      <c r="H525" s="11" t="s">
        <v>7</v>
      </c>
    </row>
    <row r="526" spans="1:8" ht="13.5" customHeight="1" x14ac:dyDescent="0.25">
      <c r="A526" s="11" t="s">
        <v>14</v>
      </c>
      <c r="B526" s="11" t="s">
        <v>15</v>
      </c>
      <c r="C526" s="11" t="s">
        <v>244</v>
      </c>
      <c r="D526" s="12">
        <v>46251</v>
      </c>
      <c r="E526" s="4">
        <v>618160</v>
      </c>
      <c r="F526" s="11"/>
      <c r="G526" s="11"/>
      <c r="H526" s="11" t="s">
        <v>7</v>
      </c>
    </row>
    <row r="527" spans="1:8" ht="13.5" customHeight="1" x14ac:dyDescent="0.25">
      <c r="A527" s="11" t="s">
        <v>14</v>
      </c>
      <c r="B527" s="11" t="s">
        <v>15</v>
      </c>
      <c r="C527" s="11" t="s">
        <v>197</v>
      </c>
      <c r="D527" s="12">
        <v>46256</v>
      </c>
      <c r="E527" s="4">
        <v>828060</v>
      </c>
      <c r="F527" s="11"/>
      <c r="G527" s="11"/>
      <c r="H527" s="11" t="s">
        <v>7</v>
      </c>
    </row>
    <row r="528" spans="1:8" ht="13.5" customHeight="1" x14ac:dyDescent="0.25">
      <c r="A528" s="11" t="s">
        <v>14</v>
      </c>
      <c r="B528" s="11" t="s">
        <v>15</v>
      </c>
      <c r="C528" s="11" t="s">
        <v>201</v>
      </c>
      <c r="D528" s="12">
        <v>46258</v>
      </c>
      <c r="E528" s="4">
        <v>559500</v>
      </c>
      <c r="F528" s="11"/>
      <c r="G528" s="11"/>
      <c r="H528" s="11" t="s">
        <v>7</v>
      </c>
    </row>
    <row r="529" spans="1:8" ht="13.5" customHeight="1" x14ac:dyDescent="0.25">
      <c r="A529" s="11" t="s">
        <v>14</v>
      </c>
      <c r="B529" s="11" t="s">
        <v>15</v>
      </c>
      <c r="C529" s="11" t="s">
        <v>202</v>
      </c>
      <c r="D529" s="12">
        <v>46260</v>
      </c>
      <c r="E529" s="4">
        <v>998370</v>
      </c>
      <c r="F529" s="11"/>
      <c r="G529" s="11"/>
      <c r="H529" s="11" t="s">
        <v>7</v>
      </c>
    </row>
    <row r="530" spans="1:8" ht="13.5" customHeight="1" x14ac:dyDescent="0.25">
      <c r="A530" s="11" t="s">
        <v>14</v>
      </c>
      <c r="B530" s="11" t="s">
        <v>15</v>
      </c>
      <c r="C530" s="11" t="s">
        <v>203</v>
      </c>
      <c r="D530" s="12">
        <v>46261</v>
      </c>
      <c r="E530" s="4">
        <v>631000</v>
      </c>
      <c r="F530" s="11"/>
      <c r="G530" s="11"/>
      <c r="H530" s="11" t="s">
        <v>7</v>
      </c>
    </row>
    <row r="531" spans="1:8" ht="13.5" hidden="1" customHeight="1" x14ac:dyDescent="0.25">
      <c r="A531" s="11" t="s">
        <v>29</v>
      </c>
      <c r="B531" s="11" t="s">
        <v>15</v>
      </c>
      <c r="C531" s="11">
        <v>447378</v>
      </c>
      <c r="D531" s="12">
        <v>46261</v>
      </c>
      <c r="E531" s="4">
        <v>775535</v>
      </c>
      <c r="F531" s="11" t="s">
        <v>2</v>
      </c>
      <c r="G531" s="12">
        <v>46265</v>
      </c>
      <c r="H531" s="11" t="s">
        <v>7</v>
      </c>
    </row>
    <row r="532" spans="1:8" ht="13.5" hidden="1" customHeight="1" x14ac:dyDescent="0.25">
      <c r="A532" s="11" t="s">
        <v>29</v>
      </c>
      <c r="B532" s="11" t="s">
        <v>15</v>
      </c>
      <c r="C532" s="11">
        <v>447388</v>
      </c>
      <c r="D532" s="12">
        <v>46261</v>
      </c>
      <c r="E532" s="4">
        <v>171955</v>
      </c>
      <c r="F532" s="11" t="s">
        <v>2</v>
      </c>
      <c r="G532" s="12">
        <v>46265</v>
      </c>
      <c r="H532" s="11" t="s">
        <v>7</v>
      </c>
    </row>
    <row r="533" spans="1:8" ht="13.5" hidden="1" customHeight="1" x14ac:dyDescent="0.25">
      <c r="A533" s="11" t="s">
        <v>29</v>
      </c>
      <c r="B533" s="11" t="s">
        <v>15</v>
      </c>
      <c r="C533" s="11">
        <v>447410</v>
      </c>
      <c r="D533" s="12">
        <v>46261</v>
      </c>
      <c r="E533" s="4">
        <v>597280</v>
      </c>
      <c r="F533" s="11" t="s">
        <v>2</v>
      </c>
      <c r="G533" s="12">
        <v>46265</v>
      </c>
      <c r="H533" s="11" t="s">
        <v>7</v>
      </c>
    </row>
    <row r="534" spans="1:8" ht="13.5" customHeight="1" x14ac:dyDescent="0.25">
      <c r="A534" s="11" t="s">
        <v>14</v>
      </c>
      <c r="B534" s="11" t="s">
        <v>15</v>
      </c>
      <c r="C534" s="11" t="s">
        <v>204</v>
      </c>
      <c r="D534" s="12">
        <v>46262</v>
      </c>
      <c r="E534" s="4">
        <v>619650</v>
      </c>
      <c r="F534" s="11"/>
      <c r="G534" s="11"/>
      <c r="H534" s="11" t="s">
        <v>7</v>
      </c>
    </row>
    <row r="535" spans="1:8" ht="13.5" customHeight="1" x14ac:dyDescent="0.25">
      <c r="A535" s="11" t="s">
        <v>14</v>
      </c>
      <c r="B535" s="11" t="s">
        <v>15</v>
      </c>
      <c r="C535" s="11" t="s">
        <v>205</v>
      </c>
      <c r="D535" s="12">
        <v>46262</v>
      </c>
      <c r="E535" s="4">
        <v>331300</v>
      </c>
      <c r="F535" s="11"/>
      <c r="G535" s="11"/>
      <c r="H535" s="11" t="s">
        <v>7</v>
      </c>
    </row>
    <row r="536" spans="1:8" ht="13.5" hidden="1" customHeight="1" x14ac:dyDescent="0.25">
      <c r="A536" s="11" t="s">
        <v>0</v>
      </c>
      <c r="B536" s="11" t="s">
        <v>34</v>
      </c>
      <c r="C536" s="11" t="s">
        <v>21</v>
      </c>
      <c r="D536" s="12">
        <v>46264</v>
      </c>
      <c r="E536" s="4">
        <f>1083167*1.25</f>
        <v>1353958.75</v>
      </c>
      <c r="F536" s="11"/>
      <c r="G536" s="11"/>
      <c r="H536" s="11"/>
    </row>
    <row r="537" spans="1:8" ht="13.5" hidden="1" customHeight="1" x14ac:dyDescent="0.25">
      <c r="A537" s="11" t="s">
        <v>1</v>
      </c>
      <c r="B537" s="11" t="s">
        <v>34</v>
      </c>
      <c r="C537" s="11" t="s">
        <v>21</v>
      </c>
      <c r="D537" s="12">
        <v>46264</v>
      </c>
      <c r="E537" s="4">
        <f>1083167*1.25</f>
        <v>1353958.75</v>
      </c>
      <c r="F537" s="11"/>
      <c r="G537" s="11"/>
      <c r="H537" s="11"/>
    </row>
    <row r="538" spans="1:8" ht="13.5" hidden="1" customHeight="1" x14ac:dyDescent="0.25">
      <c r="A538" s="11" t="s">
        <v>33</v>
      </c>
      <c r="B538" s="11" t="s">
        <v>34</v>
      </c>
      <c r="C538" s="11" t="s">
        <v>21</v>
      </c>
      <c r="D538" s="12">
        <v>46264</v>
      </c>
      <c r="E538" s="4">
        <v>210000</v>
      </c>
      <c r="F538" s="11"/>
      <c r="G538" s="11"/>
      <c r="H538" s="11"/>
    </row>
    <row r="539" spans="1:8" ht="13.5" hidden="1" customHeight="1" x14ac:dyDescent="0.25">
      <c r="A539" s="11" t="s">
        <v>90</v>
      </c>
      <c r="B539" s="11" t="s">
        <v>34</v>
      </c>
      <c r="C539" s="11" t="s">
        <v>21</v>
      </c>
      <c r="D539" s="12">
        <v>46264</v>
      </c>
      <c r="E539" s="4">
        <v>210000</v>
      </c>
      <c r="F539" s="11"/>
      <c r="G539" s="11"/>
      <c r="H539" s="11"/>
    </row>
    <row r="540" spans="1:8" ht="13.5" hidden="1" customHeight="1" x14ac:dyDescent="0.25">
      <c r="A540" s="11" t="s">
        <v>118</v>
      </c>
      <c r="B540" s="11" t="s">
        <v>130</v>
      </c>
      <c r="C540" s="11" t="s">
        <v>21</v>
      </c>
      <c r="D540" s="12">
        <v>46264</v>
      </c>
      <c r="E540" s="4">
        <v>500000</v>
      </c>
      <c r="F540" s="11"/>
      <c r="G540" s="11"/>
      <c r="H540" s="11" t="s">
        <v>119</v>
      </c>
    </row>
    <row r="541" spans="1:8" ht="13.5" customHeight="1" x14ac:dyDescent="0.25">
      <c r="A541" s="11" t="s">
        <v>14</v>
      </c>
      <c r="B541" s="11" t="s">
        <v>15</v>
      </c>
      <c r="C541" s="11" t="s">
        <v>206</v>
      </c>
      <c r="D541" s="12">
        <v>46265</v>
      </c>
      <c r="E541" s="4">
        <v>1115990</v>
      </c>
      <c r="F541" s="11"/>
      <c r="G541" s="11"/>
      <c r="H541" s="11" t="s">
        <v>7</v>
      </c>
    </row>
    <row r="542" spans="1:8" ht="13.5" customHeight="1" x14ac:dyDescent="0.25">
      <c r="A542" s="11" t="s">
        <v>14</v>
      </c>
      <c r="B542" s="11" t="s">
        <v>15</v>
      </c>
      <c r="C542" s="11" t="s">
        <v>207</v>
      </c>
      <c r="D542" s="12">
        <v>46267</v>
      </c>
      <c r="E542" s="4">
        <v>578800</v>
      </c>
      <c r="F542" s="11"/>
      <c r="G542" s="11"/>
      <c r="H542" s="11" t="s">
        <v>7</v>
      </c>
    </row>
    <row r="543" spans="1:8" ht="13.5" customHeight="1" x14ac:dyDescent="0.25">
      <c r="A543" s="11" t="s">
        <v>14</v>
      </c>
      <c r="B543" s="11" t="s">
        <v>15</v>
      </c>
      <c r="C543" s="11" t="s">
        <v>208</v>
      </c>
      <c r="D543" s="12">
        <v>46268</v>
      </c>
      <c r="E543" s="4">
        <v>1170200</v>
      </c>
      <c r="F543" s="11"/>
      <c r="G543" s="11"/>
      <c r="H543" s="11" t="s">
        <v>7</v>
      </c>
    </row>
    <row r="544" spans="1:8" ht="13.5" hidden="1" customHeight="1" x14ac:dyDescent="0.25">
      <c r="A544" s="11" t="s">
        <v>40</v>
      </c>
      <c r="B544" s="11" t="s">
        <v>41</v>
      </c>
      <c r="C544" s="11" t="s">
        <v>22</v>
      </c>
      <c r="D544" s="12">
        <v>46270</v>
      </c>
      <c r="E544" s="4">
        <v>3000000</v>
      </c>
      <c r="F544" s="11" t="s">
        <v>2</v>
      </c>
      <c r="G544" s="12">
        <v>46270</v>
      </c>
      <c r="H544" s="11" t="s">
        <v>6</v>
      </c>
    </row>
    <row r="545" spans="1:8" ht="13.5" hidden="1" customHeight="1" x14ac:dyDescent="0.25">
      <c r="A545" s="11" t="s">
        <v>29</v>
      </c>
      <c r="B545" s="11" t="s">
        <v>15</v>
      </c>
      <c r="C545" s="11">
        <v>451071</v>
      </c>
      <c r="D545" s="12">
        <v>46270</v>
      </c>
      <c r="E545" s="4">
        <v>183824</v>
      </c>
      <c r="F545" s="11" t="s">
        <v>2</v>
      </c>
      <c r="G545" s="12">
        <v>46279</v>
      </c>
      <c r="H545" s="11" t="s">
        <v>7</v>
      </c>
    </row>
    <row r="546" spans="1:8" ht="13.5" hidden="1" customHeight="1" x14ac:dyDescent="0.25">
      <c r="A546" s="11" t="s">
        <v>29</v>
      </c>
      <c r="B546" s="11" t="s">
        <v>15</v>
      </c>
      <c r="C546" s="11">
        <v>451167</v>
      </c>
      <c r="D546" s="12">
        <v>46270</v>
      </c>
      <c r="E546" s="8">
        <f>93207*0.88</f>
        <v>82022.16</v>
      </c>
      <c r="F546" s="11" t="s">
        <v>2</v>
      </c>
      <c r="G546" s="12">
        <v>46279</v>
      </c>
      <c r="H546" s="11" t="s">
        <v>7</v>
      </c>
    </row>
    <row r="547" spans="1:8" ht="13.5" hidden="1" customHeight="1" x14ac:dyDescent="0.25">
      <c r="A547" s="11" t="s">
        <v>29</v>
      </c>
      <c r="B547" s="11" t="s">
        <v>15</v>
      </c>
      <c r="C547" s="11">
        <v>451074</v>
      </c>
      <c r="D547" s="12">
        <v>46270</v>
      </c>
      <c r="E547" s="8">
        <f>258575*0.88</f>
        <v>227546</v>
      </c>
      <c r="F547" s="11" t="s">
        <v>2</v>
      </c>
      <c r="G547" s="12">
        <v>46279</v>
      </c>
      <c r="H547" s="11" t="s">
        <v>7</v>
      </c>
    </row>
    <row r="548" spans="1:8" ht="13.5" customHeight="1" x14ac:dyDescent="0.25">
      <c r="A548" s="11" t="s">
        <v>14</v>
      </c>
      <c r="B548" s="11" t="s">
        <v>15</v>
      </c>
      <c r="C548" s="11" t="s">
        <v>209</v>
      </c>
      <c r="D548" s="12">
        <v>46272</v>
      </c>
      <c r="E548" s="4">
        <v>891300</v>
      </c>
      <c r="F548" s="11"/>
      <c r="G548" s="11"/>
      <c r="H548" s="11" t="s">
        <v>7</v>
      </c>
    </row>
    <row r="549" spans="1:8" ht="13.5" customHeight="1" x14ac:dyDescent="0.25">
      <c r="A549" s="11" t="s">
        <v>14</v>
      </c>
      <c r="B549" s="11" t="s">
        <v>15</v>
      </c>
      <c r="C549" s="11" t="s">
        <v>210</v>
      </c>
      <c r="D549" s="12">
        <v>46274</v>
      </c>
      <c r="E549" s="4">
        <v>1136490</v>
      </c>
      <c r="F549" s="11"/>
      <c r="G549" s="11"/>
      <c r="H549" s="11" t="s">
        <v>7</v>
      </c>
    </row>
    <row r="550" spans="1:8" ht="13.5" hidden="1" customHeight="1" x14ac:dyDescent="0.25">
      <c r="A550" s="11" t="s">
        <v>30</v>
      </c>
      <c r="B550" s="11" t="s">
        <v>31</v>
      </c>
      <c r="C550" s="11" t="s">
        <v>22</v>
      </c>
      <c r="D550" s="12">
        <v>46274</v>
      </c>
      <c r="E550" s="4">
        <v>2499370</v>
      </c>
      <c r="F550" s="11" t="s">
        <v>2</v>
      </c>
      <c r="G550" s="12">
        <v>46273</v>
      </c>
      <c r="H550" s="11" t="s">
        <v>6</v>
      </c>
    </row>
    <row r="551" spans="1:8" ht="13.5" hidden="1" customHeight="1" x14ac:dyDescent="0.25">
      <c r="A551" s="11" t="s">
        <v>29</v>
      </c>
      <c r="B551" s="11" t="s">
        <v>15</v>
      </c>
      <c r="C551" s="11">
        <v>446942</v>
      </c>
      <c r="D551" s="12">
        <v>46275</v>
      </c>
      <c r="E551" s="8">
        <v>597212</v>
      </c>
      <c r="F551" s="11" t="s">
        <v>2</v>
      </c>
      <c r="G551" s="12">
        <v>46279</v>
      </c>
      <c r="H551" s="11" t="s">
        <v>7</v>
      </c>
    </row>
    <row r="552" spans="1:8" ht="13.5" hidden="1" customHeight="1" x14ac:dyDescent="0.25">
      <c r="A552" s="11" t="s">
        <v>29</v>
      </c>
      <c r="B552" s="11" t="s">
        <v>15</v>
      </c>
      <c r="C552" s="11">
        <v>446945</v>
      </c>
      <c r="D552" s="12">
        <v>46275</v>
      </c>
      <c r="E552" s="4">
        <v>185038</v>
      </c>
      <c r="F552" s="11" t="s">
        <v>2</v>
      </c>
      <c r="G552" s="12">
        <v>46280</v>
      </c>
      <c r="H552" s="11" t="s">
        <v>7</v>
      </c>
    </row>
    <row r="553" spans="1:8" ht="13.5" hidden="1" customHeight="1" x14ac:dyDescent="0.25">
      <c r="A553" s="11" t="s">
        <v>29</v>
      </c>
      <c r="B553" s="11" t="s">
        <v>198</v>
      </c>
      <c r="C553" s="11">
        <v>446844</v>
      </c>
      <c r="D553" s="12">
        <v>46275</v>
      </c>
      <c r="E553" s="8">
        <v>775532</v>
      </c>
      <c r="F553" s="11" t="s">
        <v>2</v>
      </c>
      <c r="G553" s="12">
        <v>46279</v>
      </c>
      <c r="H553" s="11" t="s">
        <v>7</v>
      </c>
    </row>
    <row r="554" spans="1:8" ht="13.5" hidden="1" customHeight="1" x14ac:dyDescent="0.25">
      <c r="A554" s="11" t="s">
        <v>27</v>
      </c>
      <c r="B554" s="11" t="s">
        <v>28</v>
      </c>
      <c r="C554" s="11" t="s">
        <v>22</v>
      </c>
      <c r="D554" s="12">
        <v>46275</v>
      </c>
      <c r="E554" s="4">
        <v>100000</v>
      </c>
      <c r="F554" s="11"/>
      <c r="G554" s="11"/>
      <c r="H554" s="11"/>
    </row>
    <row r="555" spans="1:8" ht="13.5" customHeight="1" x14ac:dyDescent="0.25">
      <c r="A555" s="11" t="s">
        <v>14</v>
      </c>
      <c r="B555" s="11" t="s">
        <v>154</v>
      </c>
      <c r="C555" s="11" t="s">
        <v>248</v>
      </c>
      <c r="D555" s="12">
        <v>46276</v>
      </c>
      <c r="E555" s="4">
        <v>1241580</v>
      </c>
      <c r="F555" s="11"/>
      <c r="G555" s="11"/>
      <c r="H555" s="11" t="s">
        <v>7</v>
      </c>
    </row>
    <row r="556" spans="1:8" ht="13.5" customHeight="1" x14ac:dyDescent="0.25">
      <c r="A556" s="11" t="s">
        <v>14</v>
      </c>
      <c r="B556" s="11" t="s">
        <v>15</v>
      </c>
      <c r="C556" s="11" t="s">
        <v>249</v>
      </c>
      <c r="D556" s="12">
        <v>46279</v>
      </c>
      <c r="E556" s="4">
        <v>912780</v>
      </c>
      <c r="F556" s="11"/>
      <c r="G556" s="11"/>
      <c r="H556" s="11" t="s">
        <v>7</v>
      </c>
    </row>
    <row r="557" spans="1:8" ht="13.5" hidden="1" customHeight="1" x14ac:dyDescent="0.25">
      <c r="A557" s="11" t="s">
        <v>26</v>
      </c>
      <c r="B557" s="11">
        <v>894509</v>
      </c>
      <c r="C557" s="11" t="s">
        <v>22</v>
      </c>
      <c r="D557" s="12">
        <v>46277</v>
      </c>
      <c r="E557" s="4">
        <v>302062</v>
      </c>
      <c r="F557" s="11"/>
      <c r="G557" s="11"/>
      <c r="H557" s="11" t="s">
        <v>119</v>
      </c>
    </row>
    <row r="558" spans="1:8" ht="13.5" hidden="1" customHeight="1" x14ac:dyDescent="0.25">
      <c r="A558" s="11" t="s">
        <v>39</v>
      </c>
      <c r="B558" s="11" t="s">
        <v>15</v>
      </c>
      <c r="C558" s="11">
        <v>494720</v>
      </c>
      <c r="D558" s="12">
        <v>46280</v>
      </c>
      <c r="E558" s="4">
        <v>2337598</v>
      </c>
      <c r="F558" s="11"/>
      <c r="G558" s="12"/>
      <c r="H558" s="11" t="s">
        <v>7</v>
      </c>
    </row>
    <row r="559" spans="1:8" ht="13.5" hidden="1" customHeight="1" x14ac:dyDescent="0.25">
      <c r="A559" s="11" t="s">
        <v>35</v>
      </c>
      <c r="B559" s="11" t="s">
        <v>36</v>
      </c>
      <c r="C559" s="11" t="s">
        <v>22</v>
      </c>
      <c r="D559" s="12">
        <v>46280</v>
      </c>
      <c r="E559" s="4">
        <v>119400</v>
      </c>
      <c r="F559" s="11"/>
      <c r="G559" s="11"/>
      <c r="H559" s="11"/>
    </row>
    <row r="560" spans="1:8" ht="13.5" hidden="1" customHeight="1" x14ac:dyDescent="0.25">
      <c r="A560" s="11" t="s">
        <v>0</v>
      </c>
      <c r="B560" s="11" t="s">
        <v>34</v>
      </c>
      <c r="C560" s="11" t="s">
        <v>22</v>
      </c>
      <c r="D560" s="12">
        <v>46280</v>
      </c>
      <c r="E560" s="4">
        <f>1083167*1.25</f>
        <v>1353958.75</v>
      </c>
      <c r="F560" s="11"/>
      <c r="G560" s="11"/>
      <c r="H560" s="11"/>
    </row>
    <row r="561" spans="1:8" ht="13.5" hidden="1" customHeight="1" x14ac:dyDescent="0.25">
      <c r="A561" s="11" t="s">
        <v>1</v>
      </c>
      <c r="B561" s="11" t="s">
        <v>34</v>
      </c>
      <c r="C561" s="11" t="s">
        <v>22</v>
      </c>
      <c r="D561" s="12">
        <v>46280</v>
      </c>
      <c r="E561" s="4">
        <f>1083167*1.25</f>
        <v>1353958.75</v>
      </c>
      <c r="F561" s="11"/>
      <c r="G561" s="11"/>
      <c r="H561" s="11"/>
    </row>
    <row r="562" spans="1:8" ht="13.5" hidden="1" customHeight="1" x14ac:dyDescent="0.25">
      <c r="A562" s="11" t="s">
        <v>33</v>
      </c>
      <c r="B562" s="11" t="s">
        <v>34</v>
      </c>
      <c r="C562" s="11" t="s">
        <v>22</v>
      </c>
      <c r="D562" s="12">
        <v>46280</v>
      </c>
      <c r="E562" s="4">
        <v>210000</v>
      </c>
      <c r="F562" s="11"/>
      <c r="G562" s="11"/>
      <c r="H562" s="11"/>
    </row>
    <row r="563" spans="1:8" ht="13.5" hidden="1" customHeight="1" x14ac:dyDescent="0.25">
      <c r="A563" s="11" t="s">
        <v>90</v>
      </c>
      <c r="B563" s="11" t="s">
        <v>34</v>
      </c>
      <c r="C563" s="11" t="s">
        <v>22</v>
      </c>
      <c r="D563" s="12">
        <v>46280</v>
      </c>
      <c r="E563" s="4">
        <v>210000</v>
      </c>
      <c r="F563" s="11"/>
      <c r="G563" s="11"/>
      <c r="H563" s="11"/>
    </row>
    <row r="564" spans="1:8" ht="13.5" hidden="1" customHeight="1" x14ac:dyDescent="0.25">
      <c r="A564" s="11" t="s">
        <v>118</v>
      </c>
      <c r="B564" s="11" t="s">
        <v>130</v>
      </c>
      <c r="C564" s="11" t="s">
        <v>22</v>
      </c>
      <c r="D564" s="12">
        <v>46280</v>
      </c>
      <c r="E564" s="4">
        <v>500000</v>
      </c>
      <c r="F564" s="11"/>
      <c r="G564" s="11"/>
      <c r="H564" s="11" t="s">
        <v>119</v>
      </c>
    </row>
    <row r="565" spans="1:8" ht="13.5" customHeight="1" x14ac:dyDescent="0.25">
      <c r="A565" s="11" t="s">
        <v>14</v>
      </c>
      <c r="B565" s="11" t="s">
        <v>15</v>
      </c>
      <c r="C565" s="11" t="s">
        <v>250</v>
      </c>
      <c r="D565" s="12">
        <v>46282</v>
      </c>
      <c r="E565" s="4">
        <v>1501460</v>
      </c>
      <c r="F565" s="11"/>
      <c r="G565" s="11"/>
      <c r="H565" s="11" t="s">
        <v>7</v>
      </c>
    </row>
    <row r="566" spans="1:8" ht="13.5" customHeight="1" x14ac:dyDescent="0.25">
      <c r="A566" s="11" t="s">
        <v>14</v>
      </c>
      <c r="B566" s="11" t="s">
        <v>15</v>
      </c>
      <c r="C566" s="11" t="s">
        <v>251</v>
      </c>
      <c r="D566" s="12">
        <v>46285</v>
      </c>
      <c r="E566" s="4">
        <v>1009580</v>
      </c>
      <c r="F566" s="11"/>
      <c r="G566" s="11"/>
      <c r="H566" s="11" t="s">
        <v>7</v>
      </c>
    </row>
    <row r="567" spans="1:8" ht="13.5" customHeight="1" x14ac:dyDescent="0.25">
      <c r="A567" s="11" t="s">
        <v>14</v>
      </c>
      <c r="B567" s="11" t="s">
        <v>15</v>
      </c>
      <c r="C567" s="11" t="s">
        <v>252</v>
      </c>
      <c r="D567" s="12">
        <v>46288</v>
      </c>
      <c r="E567" s="4">
        <v>1255000</v>
      </c>
      <c r="F567" s="11"/>
      <c r="G567" s="11"/>
      <c r="H567" s="11" t="s">
        <v>7</v>
      </c>
    </row>
    <row r="568" spans="1:8" ht="13.5" hidden="1" customHeight="1" x14ac:dyDescent="0.25">
      <c r="A568" s="11" t="s">
        <v>29</v>
      </c>
      <c r="B568" s="11" t="s">
        <v>15</v>
      </c>
      <c r="C568" s="11">
        <v>458210</v>
      </c>
      <c r="D568" s="12">
        <v>46289</v>
      </c>
      <c r="E568" s="8">
        <v>190793</v>
      </c>
      <c r="F568" s="11"/>
      <c r="G568" s="11"/>
      <c r="H568" s="11" t="s">
        <v>7</v>
      </c>
    </row>
    <row r="569" spans="1:8" ht="13.5" hidden="1" customHeight="1" x14ac:dyDescent="0.25">
      <c r="A569" s="11" t="s">
        <v>29</v>
      </c>
      <c r="B569" s="11" t="s">
        <v>15</v>
      </c>
      <c r="C569" s="11">
        <v>458226</v>
      </c>
      <c r="D569" s="12">
        <v>46289</v>
      </c>
      <c r="E569" s="4">
        <v>224122</v>
      </c>
      <c r="F569" s="11"/>
      <c r="G569" s="11"/>
      <c r="H569" s="11" t="s">
        <v>7</v>
      </c>
    </row>
    <row r="570" spans="1:8" ht="13.5" customHeight="1" x14ac:dyDescent="0.25">
      <c r="A570" s="11" t="s">
        <v>14</v>
      </c>
      <c r="B570" s="11" t="s">
        <v>15</v>
      </c>
      <c r="C570" s="33" t="s">
        <v>256</v>
      </c>
      <c r="D570" s="12">
        <v>46292</v>
      </c>
      <c r="E570" s="4">
        <v>1163150</v>
      </c>
      <c r="F570" s="11"/>
      <c r="G570" s="11"/>
      <c r="H570" s="11" t="s">
        <v>7</v>
      </c>
    </row>
    <row r="571" spans="1:8" ht="13.5" hidden="1" customHeight="1" x14ac:dyDescent="0.25">
      <c r="A571" s="11" t="s">
        <v>29</v>
      </c>
      <c r="B571" s="11" t="s">
        <v>15</v>
      </c>
      <c r="C571" s="11">
        <v>459544</v>
      </c>
      <c r="D571" s="12">
        <v>46292</v>
      </c>
      <c r="E571" s="8">
        <v>2326690</v>
      </c>
      <c r="F571" s="11"/>
      <c r="G571" s="11"/>
      <c r="H571" s="11" t="s">
        <v>7</v>
      </c>
    </row>
    <row r="572" spans="1:8" ht="13.5" customHeight="1" x14ac:dyDescent="0.25">
      <c r="A572" s="11" t="s">
        <v>14</v>
      </c>
      <c r="B572" s="11" t="s">
        <v>15</v>
      </c>
      <c r="C572" s="11" t="s">
        <v>253</v>
      </c>
      <c r="D572" s="12">
        <v>46294</v>
      </c>
      <c r="E572" s="4">
        <v>440200</v>
      </c>
      <c r="F572" s="11"/>
      <c r="G572" s="11"/>
      <c r="H572" s="11" t="s">
        <v>7</v>
      </c>
    </row>
    <row r="573" spans="1:8" ht="13.5" hidden="1" customHeight="1" x14ac:dyDescent="0.25">
      <c r="A573" s="11" t="s">
        <v>0</v>
      </c>
      <c r="B573" s="11" t="s">
        <v>34</v>
      </c>
      <c r="C573" s="11" t="s">
        <v>22</v>
      </c>
      <c r="D573" s="12">
        <v>46295</v>
      </c>
      <c r="E573" s="4">
        <f>1083167*1.25</f>
        <v>1353958.75</v>
      </c>
      <c r="F573" s="11"/>
      <c r="G573" s="11"/>
      <c r="H573" s="11"/>
    </row>
    <row r="574" spans="1:8" ht="13.5" hidden="1" customHeight="1" x14ac:dyDescent="0.25">
      <c r="A574" s="11" t="s">
        <v>1</v>
      </c>
      <c r="B574" s="11" t="s">
        <v>34</v>
      </c>
      <c r="C574" s="11" t="s">
        <v>22</v>
      </c>
      <c r="D574" s="12">
        <v>46295</v>
      </c>
      <c r="E574" s="4">
        <f>1083167*1.25</f>
        <v>1353958.75</v>
      </c>
      <c r="F574" s="11"/>
      <c r="G574" s="11"/>
      <c r="H574" s="11"/>
    </row>
    <row r="575" spans="1:8" ht="13.5" hidden="1" customHeight="1" x14ac:dyDescent="0.25">
      <c r="A575" s="11" t="s">
        <v>33</v>
      </c>
      <c r="B575" s="11" t="s">
        <v>34</v>
      </c>
      <c r="C575" s="11" t="s">
        <v>22</v>
      </c>
      <c r="D575" s="12">
        <v>46295</v>
      </c>
      <c r="E575" s="4">
        <v>210000</v>
      </c>
      <c r="F575" s="11"/>
      <c r="G575" s="11"/>
      <c r="H575" s="11"/>
    </row>
    <row r="576" spans="1:8" ht="13.5" hidden="1" customHeight="1" x14ac:dyDescent="0.25">
      <c r="A576" s="11" t="s">
        <v>90</v>
      </c>
      <c r="B576" s="11" t="s">
        <v>34</v>
      </c>
      <c r="C576" s="11" t="s">
        <v>22</v>
      </c>
      <c r="D576" s="12">
        <v>46295</v>
      </c>
      <c r="E576" s="4">
        <v>210000</v>
      </c>
      <c r="F576" s="11"/>
      <c r="G576" s="11"/>
      <c r="H576" s="11"/>
    </row>
    <row r="577" spans="1:8" ht="13.5" hidden="1" customHeight="1" x14ac:dyDescent="0.25">
      <c r="A577" s="11" t="s">
        <v>118</v>
      </c>
      <c r="B577" s="11" t="s">
        <v>130</v>
      </c>
      <c r="C577" s="11" t="s">
        <v>22</v>
      </c>
      <c r="D577" s="12">
        <v>46295</v>
      </c>
      <c r="E577" s="4">
        <v>500000</v>
      </c>
      <c r="F577" s="11"/>
      <c r="G577" s="11"/>
      <c r="H577" s="11" t="s">
        <v>119</v>
      </c>
    </row>
    <row r="578" spans="1:8" ht="13.5" customHeight="1" x14ac:dyDescent="0.25">
      <c r="A578" s="11" t="s">
        <v>14</v>
      </c>
      <c r="B578" s="11" t="s">
        <v>15</v>
      </c>
      <c r="C578" s="11" t="s">
        <v>257</v>
      </c>
      <c r="D578" s="12">
        <v>46267</v>
      </c>
      <c r="E578" s="4">
        <v>614099</v>
      </c>
      <c r="F578" s="11"/>
      <c r="G578" s="11"/>
      <c r="H578" s="11" t="s">
        <v>7</v>
      </c>
    </row>
    <row r="579" spans="1:8" ht="13.5" customHeight="1" x14ac:dyDescent="0.25">
      <c r="A579" s="11" t="s">
        <v>14</v>
      </c>
      <c r="B579" s="11" t="s">
        <v>15</v>
      </c>
      <c r="C579" s="11" t="s">
        <v>259</v>
      </c>
      <c r="D579" s="12">
        <v>46303</v>
      </c>
      <c r="E579" s="4">
        <v>1433372</v>
      </c>
      <c r="F579" s="11"/>
      <c r="G579" s="11"/>
      <c r="H579" s="11" t="s">
        <v>7</v>
      </c>
    </row>
    <row r="580" spans="1:8" ht="13.5" customHeight="1" x14ac:dyDescent="0.25">
      <c r="A580" s="11" t="s">
        <v>14</v>
      </c>
      <c r="B580" s="11" t="s">
        <v>15</v>
      </c>
      <c r="C580" s="11" t="s">
        <v>260</v>
      </c>
      <c r="D580" s="12">
        <v>46305</v>
      </c>
      <c r="E580" s="4">
        <v>675709</v>
      </c>
      <c r="F580" s="11"/>
      <c r="G580" s="11"/>
      <c r="H580" s="11" t="s">
        <v>7</v>
      </c>
    </row>
    <row r="581" spans="1:8" ht="13.5" customHeight="1" x14ac:dyDescent="0.25">
      <c r="A581" s="11" t="s">
        <v>14</v>
      </c>
      <c r="B581" s="11" t="s">
        <v>15</v>
      </c>
      <c r="C581" s="11" t="s">
        <v>258</v>
      </c>
      <c r="D581" s="12">
        <v>46299</v>
      </c>
      <c r="E581" s="4">
        <v>745670</v>
      </c>
      <c r="F581" s="11"/>
      <c r="G581" s="11"/>
      <c r="H581" s="11" t="s">
        <v>7</v>
      </c>
    </row>
    <row r="582" spans="1:8" ht="13.5" hidden="1" customHeight="1" x14ac:dyDescent="0.25">
      <c r="A582" s="11" t="s">
        <v>40</v>
      </c>
      <c r="B582" s="11" t="s">
        <v>41</v>
      </c>
      <c r="C582" s="11" t="s">
        <v>25</v>
      </c>
      <c r="D582" s="12">
        <v>46300</v>
      </c>
      <c r="E582" s="4">
        <v>3000000</v>
      </c>
      <c r="F582" s="11"/>
      <c r="G582" s="11"/>
      <c r="H582" s="11" t="s">
        <v>6</v>
      </c>
    </row>
    <row r="583" spans="1:8" ht="13.5" hidden="1" customHeight="1" x14ac:dyDescent="0.25">
      <c r="A583" s="11" t="s">
        <v>27</v>
      </c>
      <c r="B583" s="11" t="s">
        <v>28</v>
      </c>
      <c r="C583" s="11" t="s">
        <v>25</v>
      </c>
      <c r="D583" s="12">
        <v>46305</v>
      </c>
      <c r="E583" s="4">
        <v>100000</v>
      </c>
      <c r="F583" s="11"/>
      <c r="G583" s="11"/>
      <c r="H583" s="11"/>
    </row>
    <row r="584" spans="1:8" ht="13.5" hidden="1" customHeight="1" x14ac:dyDescent="0.25">
      <c r="A584" s="11" t="s">
        <v>30</v>
      </c>
      <c r="B584" s="11" t="s">
        <v>31</v>
      </c>
      <c r="C584" s="11" t="s">
        <v>25</v>
      </c>
      <c r="D584" s="12">
        <v>46306</v>
      </c>
      <c r="E584" s="4">
        <v>2603890</v>
      </c>
      <c r="F584" s="11"/>
      <c r="G584" s="11"/>
      <c r="H584" s="11" t="s">
        <v>6</v>
      </c>
    </row>
    <row r="585" spans="1:8" ht="13.5" hidden="1" customHeight="1" x14ac:dyDescent="0.25">
      <c r="A585" s="11" t="s">
        <v>26</v>
      </c>
      <c r="B585" s="11">
        <v>894509</v>
      </c>
      <c r="C585" s="11" t="s">
        <v>25</v>
      </c>
      <c r="D585" s="12">
        <v>46309</v>
      </c>
      <c r="E585" s="4">
        <v>370000</v>
      </c>
      <c r="F585" s="11"/>
      <c r="G585" s="11"/>
      <c r="H585" s="11" t="s">
        <v>119</v>
      </c>
    </row>
    <row r="586" spans="1:8" ht="13.5" hidden="1" customHeight="1" x14ac:dyDescent="0.25">
      <c r="A586" s="11" t="s">
        <v>35</v>
      </c>
      <c r="B586" s="11" t="s">
        <v>36</v>
      </c>
      <c r="C586" s="11" t="s">
        <v>25</v>
      </c>
      <c r="D586" s="12">
        <v>46310</v>
      </c>
      <c r="E586" s="4">
        <v>119400</v>
      </c>
      <c r="F586" s="11"/>
      <c r="G586" s="11"/>
      <c r="H586" s="11"/>
    </row>
    <row r="587" spans="1:8" ht="13.5" hidden="1" customHeight="1" x14ac:dyDescent="0.25">
      <c r="A587" s="11" t="s">
        <v>0</v>
      </c>
      <c r="B587" s="11" t="s">
        <v>34</v>
      </c>
      <c r="C587" s="11" t="s">
        <v>25</v>
      </c>
      <c r="D587" s="12">
        <v>46310</v>
      </c>
      <c r="E587" s="4">
        <f>1083167*1.25</f>
        <v>1353958.75</v>
      </c>
      <c r="F587" s="11"/>
      <c r="G587" s="11"/>
      <c r="H587" s="11"/>
    </row>
    <row r="588" spans="1:8" ht="13.5" hidden="1" customHeight="1" x14ac:dyDescent="0.25">
      <c r="A588" s="11" t="s">
        <v>1</v>
      </c>
      <c r="B588" s="11" t="s">
        <v>34</v>
      </c>
      <c r="C588" s="11" t="s">
        <v>25</v>
      </c>
      <c r="D588" s="12">
        <v>46310</v>
      </c>
      <c r="E588" s="4">
        <f>1083167*1.25</f>
        <v>1353958.75</v>
      </c>
      <c r="F588" s="11"/>
      <c r="G588" s="11"/>
      <c r="H588" s="11"/>
    </row>
    <row r="589" spans="1:8" ht="13.5" hidden="1" customHeight="1" x14ac:dyDescent="0.25">
      <c r="A589" s="11" t="s">
        <v>33</v>
      </c>
      <c r="B589" s="11" t="s">
        <v>34</v>
      </c>
      <c r="C589" s="11" t="s">
        <v>25</v>
      </c>
      <c r="D589" s="12">
        <v>46310</v>
      </c>
      <c r="E589" s="4">
        <v>210000</v>
      </c>
      <c r="F589" s="11"/>
      <c r="G589" s="11"/>
      <c r="H589" s="11"/>
    </row>
    <row r="590" spans="1:8" ht="13.5" hidden="1" customHeight="1" x14ac:dyDescent="0.25">
      <c r="A590" s="11" t="s">
        <v>90</v>
      </c>
      <c r="B590" s="11" t="s">
        <v>34</v>
      </c>
      <c r="C590" s="11" t="s">
        <v>25</v>
      </c>
      <c r="D590" s="12">
        <v>46310</v>
      </c>
      <c r="E590" s="4">
        <v>210000</v>
      </c>
      <c r="F590" s="11"/>
      <c r="G590" s="11"/>
      <c r="H590" s="11"/>
    </row>
    <row r="591" spans="1:8" ht="13.5" hidden="1" customHeight="1" x14ac:dyDescent="0.25">
      <c r="A591" s="11" t="s">
        <v>118</v>
      </c>
      <c r="B591" s="11" t="s">
        <v>130</v>
      </c>
      <c r="C591" s="11" t="s">
        <v>25</v>
      </c>
      <c r="D591" s="12">
        <v>46310</v>
      </c>
      <c r="E591" s="4">
        <v>500000</v>
      </c>
      <c r="F591" s="11"/>
      <c r="G591" s="11"/>
      <c r="H591" s="11" t="s">
        <v>119</v>
      </c>
    </row>
    <row r="592" spans="1:8" ht="13.5" hidden="1" customHeight="1" x14ac:dyDescent="0.25">
      <c r="A592" s="11" t="s">
        <v>0</v>
      </c>
      <c r="B592" s="11" t="s">
        <v>34</v>
      </c>
      <c r="C592" s="11" t="s">
        <v>25</v>
      </c>
      <c r="D592" s="12">
        <v>46325</v>
      </c>
      <c r="E592" s="4">
        <f>1083167*1.25</f>
        <v>1353958.75</v>
      </c>
      <c r="F592" s="11"/>
      <c r="G592" s="11"/>
      <c r="H592" s="11"/>
    </row>
    <row r="593" spans="1:8" ht="13.5" hidden="1" customHeight="1" x14ac:dyDescent="0.25">
      <c r="A593" s="11" t="s">
        <v>1</v>
      </c>
      <c r="B593" s="11" t="s">
        <v>34</v>
      </c>
      <c r="C593" s="11" t="s">
        <v>25</v>
      </c>
      <c r="D593" s="12">
        <v>46325</v>
      </c>
      <c r="E593" s="4">
        <f>1083167*1.25</f>
        <v>1353958.75</v>
      </c>
      <c r="F593" s="11"/>
      <c r="G593" s="11"/>
      <c r="H593" s="11"/>
    </row>
    <row r="594" spans="1:8" ht="13.5" hidden="1" customHeight="1" x14ac:dyDescent="0.25">
      <c r="A594" s="11" t="s">
        <v>33</v>
      </c>
      <c r="B594" s="11" t="s">
        <v>34</v>
      </c>
      <c r="C594" s="11" t="s">
        <v>25</v>
      </c>
      <c r="D594" s="12">
        <v>46325</v>
      </c>
      <c r="E594" s="4">
        <v>210000</v>
      </c>
      <c r="F594" s="11"/>
      <c r="G594" s="11"/>
      <c r="H594" s="11"/>
    </row>
    <row r="595" spans="1:8" ht="13.5" hidden="1" customHeight="1" x14ac:dyDescent="0.25">
      <c r="A595" s="11" t="s">
        <v>90</v>
      </c>
      <c r="B595" s="11" t="s">
        <v>34</v>
      </c>
      <c r="C595" s="11" t="s">
        <v>25</v>
      </c>
      <c r="D595" s="12">
        <v>46325</v>
      </c>
      <c r="E595" s="4">
        <v>210000</v>
      </c>
      <c r="F595" s="11"/>
      <c r="G595" s="11"/>
      <c r="H595" s="11"/>
    </row>
    <row r="596" spans="1:8" ht="13.5" hidden="1" customHeight="1" x14ac:dyDescent="0.25">
      <c r="A596" s="11" t="s">
        <v>118</v>
      </c>
      <c r="B596" s="11" t="s">
        <v>130</v>
      </c>
      <c r="C596" s="11" t="s">
        <v>25</v>
      </c>
      <c r="D596" s="12">
        <v>46325</v>
      </c>
      <c r="E596" s="4">
        <v>500000</v>
      </c>
      <c r="F596" s="11"/>
      <c r="G596" s="11"/>
      <c r="H596" s="11" t="s">
        <v>119</v>
      </c>
    </row>
    <row r="597" spans="1:8" ht="13.5" hidden="1" customHeight="1" x14ac:dyDescent="0.25">
      <c r="A597" s="11" t="s">
        <v>40</v>
      </c>
      <c r="B597" s="11" t="s">
        <v>41</v>
      </c>
      <c r="C597" s="11" t="s">
        <v>42</v>
      </c>
      <c r="D597" s="12">
        <v>46331</v>
      </c>
      <c r="E597" s="4">
        <v>3000000</v>
      </c>
      <c r="F597" s="11"/>
      <c r="G597" s="11"/>
      <c r="H597" s="11" t="s">
        <v>6</v>
      </c>
    </row>
    <row r="598" spans="1:8" ht="13.5" hidden="1" customHeight="1" x14ac:dyDescent="0.25">
      <c r="A598" s="11" t="s">
        <v>27</v>
      </c>
      <c r="B598" s="11" t="s">
        <v>28</v>
      </c>
      <c r="C598" s="11" t="s">
        <v>42</v>
      </c>
      <c r="D598" s="12">
        <v>46336</v>
      </c>
      <c r="E598" s="4">
        <v>100000</v>
      </c>
      <c r="F598" s="11"/>
      <c r="G598" s="11"/>
      <c r="H598" s="11"/>
    </row>
    <row r="599" spans="1:8" ht="13.5" hidden="1" customHeight="1" x14ac:dyDescent="0.25">
      <c r="A599" s="11" t="s">
        <v>30</v>
      </c>
      <c r="B599" s="11" t="s">
        <v>31</v>
      </c>
      <c r="C599" s="11" t="s">
        <v>42</v>
      </c>
      <c r="D599" s="12">
        <v>46337</v>
      </c>
      <c r="E599" s="4">
        <v>2603890</v>
      </c>
      <c r="F599" s="11"/>
      <c r="G599" s="11"/>
      <c r="H599" s="11" t="s">
        <v>6</v>
      </c>
    </row>
    <row r="600" spans="1:8" ht="13.5" hidden="1" customHeight="1" x14ac:dyDescent="0.25">
      <c r="A600" s="11" t="s">
        <v>26</v>
      </c>
      <c r="B600" s="11">
        <v>894509</v>
      </c>
      <c r="C600" s="11" t="s">
        <v>42</v>
      </c>
      <c r="D600" s="12">
        <v>46340</v>
      </c>
      <c r="E600" s="4">
        <v>370000</v>
      </c>
      <c r="F600" s="11"/>
      <c r="G600" s="11"/>
      <c r="H600" s="11" t="s">
        <v>119</v>
      </c>
    </row>
    <row r="601" spans="1:8" ht="13.5" hidden="1" customHeight="1" x14ac:dyDescent="0.25">
      <c r="A601" s="11" t="s">
        <v>35</v>
      </c>
      <c r="B601" s="11" t="s">
        <v>36</v>
      </c>
      <c r="C601" s="11" t="s">
        <v>42</v>
      </c>
      <c r="D601" s="12">
        <v>46341</v>
      </c>
      <c r="E601" s="4">
        <v>119400</v>
      </c>
      <c r="F601" s="11"/>
      <c r="G601" s="11"/>
      <c r="H601" s="11"/>
    </row>
    <row r="602" spans="1:8" ht="13.5" hidden="1" customHeight="1" x14ac:dyDescent="0.25">
      <c r="A602" s="11" t="s">
        <v>0</v>
      </c>
      <c r="B602" s="11" t="s">
        <v>34</v>
      </c>
      <c r="C602" s="11" t="s">
        <v>42</v>
      </c>
      <c r="D602" s="12">
        <v>46341</v>
      </c>
      <c r="E602" s="4">
        <f>1083167*1.25</f>
        <v>1353958.75</v>
      </c>
      <c r="F602" s="11"/>
      <c r="G602" s="11"/>
      <c r="H602" s="11"/>
    </row>
    <row r="603" spans="1:8" ht="13.5" hidden="1" customHeight="1" x14ac:dyDescent="0.25">
      <c r="A603" s="11" t="s">
        <v>1</v>
      </c>
      <c r="B603" s="11" t="s">
        <v>34</v>
      </c>
      <c r="C603" s="11" t="s">
        <v>42</v>
      </c>
      <c r="D603" s="12">
        <v>46341</v>
      </c>
      <c r="E603" s="4">
        <f>1083167*1.25</f>
        <v>1353958.75</v>
      </c>
      <c r="F603" s="11"/>
      <c r="G603" s="11"/>
      <c r="H603" s="11"/>
    </row>
    <row r="604" spans="1:8" ht="13.5" hidden="1" customHeight="1" x14ac:dyDescent="0.25">
      <c r="A604" s="11" t="s">
        <v>33</v>
      </c>
      <c r="B604" s="11" t="s">
        <v>34</v>
      </c>
      <c r="C604" s="11" t="s">
        <v>42</v>
      </c>
      <c r="D604" s="12">
        <v>46341</v>
      </c>
      <c r="E604" s="4">
        <v>210000</v>
      </c>
      <c r="F604" s="11"/>
      <c r="G604" s="11"/>
      <c r="H604" s="11"/>
    </row>
    <row r="605" spans="1:8" ht="13.5" hidden="1" customHeight="1" x14ac:dyDescent="0.25">
      <c r="A605" s="11" t="s">
        <v>90</v>
      </c>
      <c r="B605" s="11" t="s">
        <v>34</v>
      </c>
      <c r="C605" s="11" t="s">
        <v>42</v>
      </c>
      <c r="D605" s="12">
        <v>46341</v>
      </c>
      <c r="E605" s="4">
        <v>210000</v>
      </c>
      <c r="F605" s="11"/>
      <c r="G605" s="11"/>
      <c r="H605" s="11"/>
    </row>
    <row r="606" spans="1:8" ht="13.5" hidden="1" customHeight="1" x14ac:dyDescent="0.25">
      <c r="A606" s="11" t="s">
        <v>118</v>
      </c>
      <c r="B606" s="11" t="s">
        <v>130</v>
      </c>
      <c r="C606" s="11" t="s">
        <v>42</v>
      </c>
      <c r="D606" s="12">
        <v>46341</v>
      </c>
      <c r="E606" s="4">
        <v>500000</v>
      </c>
      <c r="F606" s="11"/>
      <c r="G606" s="11"/>
      <c r="H606" s="11" t="s">
        <v>119</v>
      </c>
    </row>
    <row r="607" spans="1:8" ht="13.5" hidden="1" customHeight="1" x14ac:dyDescent="0.25">
      <c r="A607" s="11" t="s">
        <v>0</v>
      </c>
      <c r="B607" s="11" t="s">
        <v>34</v>
      </c>
      <c r="C607" s="11" t="s">
        <v>42</v>
      </c>
      <c r="D607" s="12">
        <v>46356</v>
      </c>
      <c r="E607" s="4">
        <f>1083167*1.25</f>
        <v>1353958.75</v>
      </c>
      <c r="F607" s="11"/>
      <c r="G607" s="11"/>
      <c r="H607" s="11"/>
    </row>
    <row r="608" spans="1:8" ht="13.5" hidden="1" customHeight="1" x14ac:dyDescent="0.25">
      <c r="A608" s="11" t="s">
        <v>1</v>
      </c>
      <c r="B608" s="11" t="s">
        <v>34</v>
      </c>
      <c r="C608" s="11" t="s">
        <v>42</v>
      </c>
      <c r="D608" s="12">
        <v>46356</v>
      </c>
      <c r="E608" s="4">
        <f>1083167*1.25</f>
        <v>1353958.75</v>
      </c>
      <c r="F608" s="11"/>
      <c r="G608" s="11"/>
      <c r="H608" s="11"/>
    </row>
    <row r="609" spans="1:8" ht="13.5" hidden="1" customHeight="1" x14ac:dyDescent="0.25">
      <c r="A609" s="11" t="s">
        <v>33</v>
      </c>
      <c r="B609" s="11" t="s">
        <v>34</v>
      </c>
      <c r="C609" s="11" t="s">
        <v>42</v>
      </c>
      <c r="D609" s="12">
        <v>46356</v>
      </c>
      <c r="E609" s="4">
        <v>210000</v>
      </c>
      <c r="F609" s="11"/>
      <c r="G609" s="11"/>
      <c r="H609" s="11"/>
    </row>
    <row r="610" spans="1:8" ht="13.5" hidden="1" customHeight="1" x14ac:dyDescent="0.25">
      <c r="A610" s="11" t="s">
        <v>90</v>
      </c>
      <c r="B610" s="11" t="s">
        <v>34</v>
      </c>
      <c r="C610" s="11" t="s">
        <v>42</v>
      </c>
      <c r="D610" s="12">
        <v>46356</v>
      </c>
      <c r="E610" s="4">
        <v>210000</v>
      </c>
      <c r="F610" s="11"/>
      <c r="G610" s="11"/>
      <c r="H610" s="11"/>
    </row>
    <row r="611" spans="1:8" ht="13.5" hidden="1" customHeight="1" x14ac:dyDescent="0.25">
      <c r="A611" s="11" t="s">
        <v>118</v>
      </c>
      <c r="B611" s="11" t="s">
        <v>130</v>
      </c>
      <c r="C611" s="11" t="s">
        <v>42</v>
      </c>
      <c r="D611" s="12">
        <v>46356</v>
      </c>
      <c r="E611" s="4">
        <v>500000</v>
      </c>
      <c r="F611" s="11"/>
      <c r="G611" s="11"/>
      <c r="H611" s="11" t="s">
        <v>119</v>
      </c>
    </row>
    <row r="612" spans="1:8" hidden="1" x14ac:dyDescent="0.25">
      <c r="A612" s="11" t="s">
        <v>40</v>
      </c>
      <c r="B612" s="11" t="s">
        <v>41</v>
      </c>
      <c r="C612" s="11" t="s">
        <v>50</v>
      </c>
      <c r="D612" s="12">
        <v>46361</v>
      </c>
      <c r="E612" s="4">
        <v>3000000</v>
      </c>
      <c r="F612" s="11"/>
      <c r="G612" s="11"/>
      <c r="H612" s="11" t="s">
        <v>6</v>
      </c>
    </row>
    <row r="613" spans="1:8" hidden="1" x14ac:dyDescent="0.25">
      <c r="A613" s="11" t="s">
        <v>27</v>
      </c>
      <c r="B613" s="11" t="s">
        <v>28</v>
      </c>
      <c r="C613" s="11" t="s">
        <v>50</v>
      </c>
      <c r="D613" s="12">
        <v>46366</v>
      </c>
      <c r="E613" s="4">
        <v>100000</v>
      </c>
      <c r="F613" s="11"/>
      <c r="G613" s="11"/>
      <c r="H613" s="11"/>
    </row>
    <row r="614" spans="1:8" hidden="1" x14ac:dyDescent="0.25">
      <c r="A614" s="11" t="s">
        <v>30</v>
      </c>
      <c r="B614" s="11" t="s">
        <v>31</v>
      </c>
      <c r="C614" s="11" t="s">
        <v>50</v>
      </c>
      <c r="D614" s="12">
        <v>46367</v>
      </c>
      <c r="E614" s="4">
        <v>2603890</v>
      </c>
      <c r="F614" s="11"/>
      <c r="G614" s="11"/>
      <c r="H614" s="11" t="s">
        <v>6</v>
      </c>
    </row>
    <row r="615" spans="1:8" hidden="1" x14ac:dyDescent="0.25">
      <c r="A615" s="11" t="s">
        <v>26</v>
      </c>
      <c r="B615" s="11">
        <v>894509</v>
      </c>
      <c r="C615" s="11" t="s">
        <v>50</v>
      </c>
      <c r="D615" s="12">
        <v>46370</v>
      </c>
      <c r="E615" s="4">
        <v>370000</v>
      </c>
      <c r="F615" s="11"/>
      <c r="G615" s="11"/>
      <c r="H615" s="11" t="s">
        <v>119</v>
      </c>
    </row>
    <row r="616" spans="1:8" hidden="1" x14ac:dyDescent="0.25">
      <c r="A616" s="11" t="s">
        <v>0</v>
      </c>
      <c r="B616" s="11" t="s">
        <v>52</v>
      </c>
      <c r="C616" s="11" t="s">
        <v>50</v>
      </c>
      <c r="D616" s="12">
        <v>46371</v>
      </c>
      <c r="E616" s="4">
        <v>1000000</v>
      </c>
      <c r="F616" s="11"/>
      <c r="G616" s="11"/>
      <c r="H616" s="11"/>
    </row>
    <row r="617" spans="1:8" hidden="1" x14ac:dyDescent="0.25">
      <c r="A617" s="11" t="s">
        <v>1</v>
      </c>
      <c r="B617" s="11" t="s">
        <v>52</v>
      </c>
      <c r="C617" s="11" t="s">
        <v>50</v>
      </c>
      <c r="D617" s="12">
        <v>46371</v>
      </c>
      <c r="E617" s="4">
        <v>1000000</v>
      </c>
      <c r="F617" s="11"/>
      <c r="G617" s="11"/>
      <c r="H617" s="11"/>
    </row>
    <row r="618" spans="1:8" hidden="1" x14ac:dyDescent="0.25">
      <c r="A618" s="11" t="s">
        <v>35</v>
      </c>
      <c r="B618" s="11" t="s">
        <v>36</v>
      </c>
      <c r="C618" s="11" t="s">
        <v>50</v>
      </c>
      <c r="D618" s="12">
        <v>46371</v>
      </c>
      <c r="E618" s="4">
        <v>119400</v>
      </c>
      <c r="F618" s="11"/>
      <c r="G618" s="11"/>
      <c r="H618" s="11"/>
    </row>
    <row r="619" spans="1:8" hidden="1" x14ac:dyDescent="0.25">
      <c r="A619" s="11" t="s">
        <v>0</v>
      </c>
      <c r="B619" s="11" t="s">
        <v>34</v>
      </c>
      <c r="C619" s="11" t="s">
        <v>50</v>
      </c>
      <c r="D619" s="12">
        <v>46371</v>
      </c>
      <c r="E619" s="4">
        <f>1083167*1.25</f>
        <v>1353958.75</v>
      </c>
      <c r="F619" s="11"/>
      <c r="G619" s="11"/>
      <c r="H619" s="11"/>
    </row>
    <row r="620" spans="1:8" hidden="1" x14ac:dyDescent="0.25">
      <c r="A620" s="11" t="s">
        <v>1</v>
      </c>
      <c r="B620" s="11" t="s">
        <v>34</v>
      </c>
      <c r="C620" s="11" t="s">
        <v>50</v>
      </c>
      <c r="D620" s="12">
        <v>46371</v>
      </c>
      <c r="E620" s="4">
        <f>1083167*1.25</f>
        <v>1353958.75</v>
      </c>
      <c r="F620" s="11"/>
      <c r="G620" s="11"/>
      <c r="H620" s="11"/>
    </row>
    <row r="621" spans="1:8" hidden="1" x14ac:dyDescent="0.25">
      <c r="A621" s="11" t="s">
        <v>33</v>
      </c>
      <c r="B621" s="11" t="s">
        <v>34</v>
      </c>
      <c r="C621" s="11" t="s">
        <v>50</v>
      </c>
      <c r="D621" s="12">
        <v>46371</v>
      </c>
      <c r="E621" s="4">
        <v>210000</v>
      </c>
      <c r="F621" s="11"/>
      <c r="G621" s="11"/>
      <c r="H621" s="11"/>
    </row>
    <row r="622" spans="1:8" hidden="1" x14ac:dyDescent="0.25">
      <c r="A622" s="11" t="s">
        <v>90</v>
      </c>
      <c r="B622" s="11" t="s">
        <v>34</v>
      </c>
      <c r="C622" s="11" t="s">
        <v>50</v>
      </c>
      <c r="D622" s="12">
        <v>46371</v>
      </c>
      <c r="E622" s="4">
        <v>210000</v>
      </c>
      <c r="F622" s="11"/>
      <c r="G622" s="11"/>
      <c r="H622" s="11"/>
    </row>
    <row r="623" spans="1:8" hidden="1" x14ac:dyDescent="0.25">
      <c r="A623" s="11" t="s">
        <v>118</v>
      </c>
      <c r="B623" s="11" t="s">
        <v>130</v>
      </c>
      <c r="C623" s="11" t="s">
        <v>50</v>
      </c>
      <c r="D623" s="12">
        <v>46371</v>
      </c>
      <c r="E623" s="4">
        <v>500000</v>
      </c>
      <c r="F623" s="11"/>
      <c r="G623" s="11"/>
      <c r="H623" s="11" t="s">
        <v>119</v>
      </c>
    </row>
    <row r="624" spans="1:8" hidden="1" x14ac:dyDescent="0.25">
      <c r="A624" s="11" t="s">
        <v>0</v>
      </c>
      <c r="B624" s="11" t="s">
        <v>34</v>
      </c>
      <c r="C624" s="11" t="s">
        <v>50</v>
      </c>
      <c r="D624" s="12">
        <v>46386</v>
      </c>
      <c r="E624" s="4">
        <f>1083167*1.25</f>
        <v>1353958.75</v>
      </c>
      <c r="F624" s="11"/>
      <c r="G624" s="11"/>
      <c r="H624" s="11"/>
    </row>
    <row r="625" spans="1:8" hidden="1" x14ac:dyDescent="0.25">
      <c r="A625" s="11" t="s">
        <v>1</v>
      </c>
      <c r="B625" s="11" t="s">
        <v>34</v>
      </c>
      <c r="C625" s="11" t="s">
        <v>50</v>
      </c>
      <c r="D625" s="12">
        <v>46386</v>
      </c>
      <c r="E625" s="4">
        <f>1083167*1.25</f>
        <v>1353958.75</v>
      </c>
      <c r="F625" s="11"/>
      <c r="G625" s="11"/>
      <c r="H625" s="11"/>
    </row>
    <row r="626" spans="1:8" hidden="1" x14ac:dyDescent="0.25">
      <c r="A626" s="11" t="s">
        <v>33</v>
      </c>
      <c r="B626" s="11" t="s">
        <v>34</v>
      </c>
      <c r="C626" s="11" t="s">
        <v>50</v>
      </c>
      <c r="D626" s="12">
        <v>46386</v>
      </c>
      <c r="E626" s="4">
        <v>210000</v>
      </c>
      <c r="F626" s="11"/>
      <c r="G626" s="11"/>
      <c r="H626" s="11"/>
    </row>
    <row r="627" spans="1:8" hidden="1" x14ac:dyDescent="0.25">
      <c r="A627" s="11" t="s">
        <v>90</v>
      </c>
      <c r="B627" s="11" t="s">
        <v>34</v>
      </c>
      <c r="C627" s="11" t="s">
        <v>50</v>
      </c>
      <c r="D627" s="12">
        <v>46386</v>
      </c>
      <c r="E627" s="4">
        <v>210000</v>
      </c>
      <c r="F627" s="11"/>
      <c r="G627" s="11"/>
      <c r="H627" s="11"/>
    </row>
    <row r="628" spans="1:8" hidden="1" x14ac:dyDescent="0.25">
      <c r="A628" s="11" t="s">
        <v>118</v>
      </c>
      <c r="B628" s="11" t="s">
        <v>130</v>
      </c>
      <c r="C628" s="11" t="s">
        <v>50</v>
      </c>
      <c r="D628" s="12">
        <v>46386</v>
      </c>
      <c r="E628" s="4">
        <v>500000</v>
      </c>
      <c r="F628" s="11"/>
      <c r="G628" s="11"/>
      <c r="H628" s="11" t="s">
        <v>119</v>
      </c>
    </row>
    <row r="629" spans="1:8" x14ac:dyDescent="0.25">
      <c r="A629" s="35" t="s">
        <v>14</v>
      </c>
      <c r="B629" s="35" t="s">
        <v>15</v>
      </c>
      <c r="C629" s="35" t="s">
        <v>246</v>
      </c>
      <c r="D629" s="36" t="s">
        <v>245</v>
      </c>
      <c r="E629" s="25">
        <v>376450</v>
      </c>
      <c r="F629" s="11" t="s">
        <v>2</v>
      </c>
      <c r="G629" s="12">
        <v>46253</v>
      </c>
      <c r="H629" s="11" t="s">
        <v>7</v>
      </c>
    </row>
    <row r="630" spans="1:8" x14ac:dyDescent="0.25">
      <c r="A630" s="35" t="s">
        <v>14</v>
      </c>
      <c r="B630" s="35" t="s">
        <v>15</v>
      </c>
      <c r="C630" s="35" t="s">
        <v>247</v>
      </c>
      <c r="D630" s="36" t="s">
        <v>245</v>
      </c>
      <c r="E630" s="25">
        <v>375050</v>
      </c>
      <c r="F630" s="11" t="s">
        <v>3</v>
      </c>
      <c r="G630" s="12">
        <v>46253</v>
      </c>
      <c r="H630" s="11" t="s">
        <v>7</v>
      </c>
    </row>
    <row r="631" spans="1:8" x14ac:dyDescent="0.25">
      <c r="A631" s="11" t="s">
        <v>14</v>
      </c>
      <c r="B631" s="11" t="s">
        <v>15</v>
      </c>
      <c r="C631" s="11" t="s">
        <v>254</v>
      </c>
      <c r="D631" s="12" t="s">
        <v>255</v>
      </c>
      <c r="E631" s="4">
        <v>1147390</v>
      </c>
      <c r="F631" s="11"/>
      <c r="G631" s="11"/>
      <c r="H631" s="11" t="s">
        <v>7</v>
      </c>
    </row>
    <row r="632" spans="1:8" hidden="1" x14ac:dyDescent="0.25">
      <c r="A632" s="11"/>
      <c r="B632" s="11"/>
      <c r="C632" s="11"/>
      <c r="D632" s="12"/>
      <c r="E632" s="4"/>
      <c r="F632" s="11"/>
      <c r="G632" s="11"/>
      <c r="H632" s="11" t="s">
        <v>7</v>
      </c>
    </row>
    <row r="633" spans="1:8" hidden="1" x14ac:dyDescent="0.25">
      <c r="A633" s="11"/>
      <c r="B633" s="11"/>
      <c r="C633" s="11"/>
      <c r="D633" s="12"/>
      <c r="E633" s="4"/>
      <c r="F633" s="11"/>
      <c r="G633" s="11"/>
      <c r="H633" s="11" t="s">
        <v>7</v>
      </c>
    </row>
    <row r="634" spans="1:8" hidden="1" x14ac:dyDescent="0.25">
      <c r="A634" s="11"/>
      <c r="B634" s="11"/>
      <c r="C634" s="11"/>
      <c r="D634" s="12"/>
      <c r="E634" s="4"/>
      <c r="F634" s="11"/>
      <c r="G634" s="11"/>
      <c r="H634" s="11"/>
    </row>
    <row r="635" spans="1:8" hidden="1" x14ac:dyDescent="0.25">
      <c r="A635" s="11"/>
      <c r="B635" s="11"/>
      <c r="C635" s="11"/>
      <c r="D635" s="12"/>
      <c r="E635" s="4"/>
      <c r="F635" s="11"/>
      <c r="G635" s="11"/>
      <c r="H635" s="11"/>
    </row>
    <row r="636" spans="1:8" hidden="1" x14ac:dyDescent="0.25">
      <c r="A636" s="11"/>
      <c r="B636" s="11"/>
      <c r="C636" s="11"/>
      <c r="D636" s="12"/>
      <c r="E636" s="4"/>
      <c r="F636" s="11"/>
      <c r="G636" s="11"/>
      <c r="H636" s="11"/>
    </row>
    <row r="637" spans="1:8" hidden="1" x14ac:dyDescent="0.25">
      <c r="A637" s="11"/>
      <c r="B637" s="11"/>
      <c r="C637" s="11"/>
      <c r="D637" s="11"/>
      <c r="E637" s="4">
        <v>0</v>
      </c>
      <c r="F637" s="11"/>
      <c r="G637" s="11"/>
      <c r="H637" s="11"/>
    </row>
    <row r="638" spans="1:8" x14ac:dyDescent="0.25">
      <c r="E638" s="6"/>
    </row>
    <row r="639" spans="1:8" x14ac:dyDescent="0.25">
      <c r="D639" s="10" t="s">
        <v>120</v>
      </c>
      <c r="E639" s="10">
        <f>SUBTOTAL(9,E2:E613)</f>
        <v>263040875.79000002</v>
      </c>
    </row>
    <row r="641" spans="4:5" x14ac:dyDescent="0.25">
      <c r="D641" s="10" t="s">
        <v>194</v>
      </c>
      <c r="E641" s="10" t="e">
        <f>E639+#REF!</f>
        <v>#REF!</v>
      </c>
    </row>
    <row r="642" spans="4:5" x14ac:dyDescent="0.25">
      <c r="D642" s="2" t="s">
        <v>195</v>
      </c>
      <c r="E642" s="10">
        <v>32217552</v>
      </c>
    </row>
    <row r="643" spans="4:5" x14ac:dyDescent="0.25">
      <c r="D643" s="2" t="s">
        <v>196</v>
      </c>
      <c r="E643" s="10" t="e">
        <f>E642-E641</f>
        <v>#REF!</v>
      </c>
    </row>
  </sheetData>
  <autoFilter ref="A1:H637" xr:uid="{07263182-CB96-42D2-A98F-26F97CC8FA02}">
    <filterColumn colId="0">
      <filters>
        <filter val="Invervisa"/>
      </filters>
    </filterColumn>
    <sortState xmlns:xlrd2="http://schemas.microsoft.com/office/spreadsheetml/2017/richdata2" ref="A2:H637">
      <sortCondition ref="D1:D637"/>
    </sortState>
  </autoFilter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4F2FD81-44E9-4D83-B16C-AAEC647EFBE9}">
          <x14:formula1>
            <xm:f>'NO TOCAR'!$E$1:$E$2</xm:f>
          </x14:formula1>
          <xm:sqref>H2:H28 H618:H619 H631 H66:H612</xm:sqref>
        </x14:dataValidation>
        <x14:dataValidation type="list" allowBlank="1" showInputMessage="1" showErrorMessage="1" xr:uid="{DB82DB46-F8C0-4E43-B347-8DCEB1E8268A}">
          <x14:formula1>
            <xm:f>'NO TOCAR'!$C$1:$C$2</xm:f>
          </x14:formula1>
          <xm:sqref>F2:F29 F234:F284 F32:F232 F286:F612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EA59-99CA-4C83-9106-A4A9A95FC1B9}">
  <dimension ref="A1:E2"/>
  <sheetViews>
    <sheetView workbookViewId="0">
      <selection activeCell="M34" sqref="M34"/>
    </sheetView>
  </sheetViews>
  <sheetFormatPr baseColWidth="10" defaultRowHeight="15" x14ac:dyDescent="0.25"/>
  <cols>
    <col min="3" max="3" width="13" bestFit="1" customWidth="1"/>
  </cols>
  <sheetData>
    <row r="1" spans="1:5" x14ac:dyDescent="0.25">
      <c r="A1" t="s">
        <v>0</v>
      </c>
      <c r="C1" t="s">
        <v>2</v>
      </c>
      <c r="E1" t="s">
        <v>6</v>
      </c>
    </row>
    <row r="2" spans="1:5" x14ac:dyDescent="0.25">
      <c r="A2" t="s">
        <v>1</v>
      </c>
      <c r="C2" t="s">
        <v>3</v>
      </c>
      <c r="E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Programación de pagos</vt:lpstr>
      <vt:lpstr>NO TOCAR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Guevara</dc:creator>
  <cp:lastModifiedBy>Fabian Guevara</cp:lastModifiedBy>
  <dcterms:created xsi:type="dcterms:W3CDTF">2025-06-17T22:43:06Z</dcterms:created>
  <dcterms:modified xsi:type="dcterms:W3CDTF">2026-09-23T20:19:37Z</dcterms:modified>
</cp:coreProperties>
</file>