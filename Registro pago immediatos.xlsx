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Farmavisa_App\"/>
    </mc:Choice>
  </mc:AlternateContent>
  <xr:revisionPtr revIDLastSave="0" documentId="13_ncr:1_{19AF5999-C40C-4683-BFB5-F53101B5107F}" xr6:coauthVersionLast="47" xr6:coauthVersionMax="47" xr10:uidLastSave="{00000000-0000-0000-0000-000000000000}"/>
  <bookViews>
    <workbookView xWindow="-120" yWindow="-120" windowWidth="20730" windowHeight="11040" tabRatio="874" xr2:uid="{BEA16B71-FE3A-4F3E-BD5F-E87CB848FD8F}"/>
  </bookViews>
  <sheets>
    <sheet name="Hoja1" sheetId="10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1" i="10" l="1"/>
  <c r="E60" i="10"/>
</calcChain>
</file>

<file path=xl/sharedStrings.xml><?xml version="1.0" encoding="utf-8"?>
<sst xmlns="http://schemas.openxmlformats.org/spreadsheetml/2006/main" count="213" uniqueCount="70">
  <si>
    <t>VALOR</t>
  </si>
  <si>
    <t>CONCEPTO</t>
  </si>
  <si>
    <t>FACTURA</t>
  </si>
  <si>
    <t>EMMA</t>
  </si>
  <si>
    <t>RAYA</t>
  </si>
  <si>
    <t>insumos</t>
  </si>
  <si>
    <t>EFECTIVO</t>
  </si>
  <si>
    <t>medicamentos BETARRETIN H</t>
  </si>
  <si>
    <t xml:space="preserve">MEDICAMENTOS EPIDUO </t>
  </si>
  <si>
    <t>FECHA</t>
  </si>
  <si>
    <t>MEDICAMENTOS ROSUVINA JAQUEDOL</t>
  </si>
  <si>
    <t>PAGO LAMINAS DEL MUNDIAL</t>
  </si>
  <si>
    <t xml:space="preserve">MEDICAMENTOS TRANSTEC </t>
  </si>
  <si>
    <t xml:space="preserve">BEBIDAS </t>
  </si>
  <si>
    <t xml:space="preserve">FRITO LAY </t>
  </si>
  <si>
    <t>DOMICILIOS SR FABIAN</t>
  </si>
  <si>
    <t>BAVARIA</t>
  </si>
  <si>
    <t>CATEGORIA</t>
  </si>
  <si>
    <t>RC</t>
  </si>
  <si>
    <t>Otros</t>
  </si>
  <si>
    <t>Medicamentos</t>
  </si>
  <si>
    <t>Bebidas</t>
  </si>
  <si>
    <t>Mekatos</t>
  </si>
  <si>
    <t>Domicilio</t>
  </si>
  <si>
    <t>MEDICAMENTOS VALTERAL</t>
  </si>
  <si>
    <t>TRANSPORTES</t>
  </si>
  <si>
    <t>TRANSPORTE VALERY</t>
  </si>
  <si>
    <t>INSUMOS</t>
  </si>
  <si>
    <t>INSUMOS DOLLARCITY</t>
  </si>
  <si>
    <t xml:space="preserve">EXTENCION FARMACIA </t>
  </si>
  <si>
    <t>MEDICAMENTOS</t>
  </si>
  <si>
    <t>FESTIVO</t>
  </si>
  <si>
    <t xml:space="preserve"> EMMA 8/15/ JUNIO</t>
  </si>
  <si>
    <t>NELLY 8/015 JUNIO</t>
  </si>
  <si>
    <t xml:space="preserve">BOLSAS FARA LA FARMACIA </t>
  </si>
  <si>
    <t>GLOBOS SELECCIÓN COLOMBIA</t>
  </si>
  <si>
    <t xml:space="preserve">MEDICAMENTOS BACLOFENO </t>
  </si>
  <si>
    <t>arreglo puerta</t>
  </si>
  <si>
    <t>ARREGLO PUERTA</t>
  </si>
  <si>
    <t>HELADOS</t>
  </si>
  <si>
    <t>DIAN</t>
  </si>
  <si>
    <t xml:space="preserve">TRANSFERENCIA </t>
  </si>
  <si>
    <t xml:space="preserve">DIAN </t>
  </si>
  <si>
    <t>DULCES</t>
  </si>
  <si>
    <t>rc</t>
  </si>
  <si>
    <t xml:space="preserve">insumos </t>
  </si>
  <si>
    <t>globoS SELECCIÓN COLOMBIA</t>
  </si>
  <si>
    <t xml:space="preserve">FESTIVO </t>
  </si>
  <si>
    <t>PAGO DE FESTIVO 29 JUNIO EMMA Y NELLY</t>
  </si>
  <si>
    <t xml:space="preserve">PAGO DE BEBIDAS </t>
  </si>
  <si>
    <t>RAYA EMMA</t>
  </si>
  <si>
    <t>RAYA NELLY</t>
  </si>
  <si>
    <t>BEBIDAS</t>
  </si>
  <si>
    <t xml:space="preserve">     </t>
  </si>
  <si>
    <t>medicamentos</t>
  </si>
  <si>
    <t>helados</t>
  </si>
  <si>
    <t>dollarcity</t>
  </si>
  <si>
    <t>inumos</t>
  </si>
  <si>
    <t>mecatos</t>
  </si>
  <si>
    <t>NELLY</t>
  </si>
  <si>
    <t>LUDY</t>
  </si>
  <si>
    <t xml:space="preserve">papel datafono </t>
  </si>
  <si>
    <t xml:space="preserve">MEDICAMENTOS </t>
  </si>
  <si>
    <t xml:space="preserve">bebidas </t>
  </si>
  <si>
    <t>valery</t>
  </si>
  <si>
    <t>dia que hizo valery a emma</t>
  </si>
  <si>
    <t>pasadias</t>
  </si>
  <si>
    <t xml:space="preserve">pasadias </t>
  </si>
  <si>
    <t xml:space="preserve">aseo </t>
  </si>
  <si>
    <t>ase puerta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</si>
</sst>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Fill="1"/>
    <xf numFmtId="0" fontId="4" fillId="0" borderId="0" xfId="0" applyFont="1" applyFill="1"/>
    <xf numFmtId="14" fontId="2" fillId="2" borderId="1" xfId="0" applyNumberFormat="1" applyFont="1" applyFill="1" applyBorder="1"/>
    <xf numFmtId="9" fontId="2" fillId="0" borderId="0" xfId="0" applyNumberFormat="1" applyFont="1" applyFill="1"/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</cellXfs>
  <cellStyles count="4">
    <cellStyle name="Millares 2" xfId="3" xr:uid="{4D0EC9AE-4342-456D-B9DB-74CB1208F25A}"/>
    <cellStyle name="Moneda 2" xfId="2" xr:uid="{64B1BA7A-41E2-47F9-8382-D6A238E928AF}"/>
    <cellStyle name="Normal" xfId="0" builtinId="0"/>
    <cellStyle name="Normal 2" xfId="1" xr:uid="{3A5D96B7-5B77-4C95-B758-5CB30A16319A}"/>
  </cellStyles>
  <dxfs count="0"/>
  <tableStyles count="0" defaultTableStyle="TableStyleMedium2" defaultPivotStyle="PivotStyleLight16"/>
  <colors>
    <mruColors>
      <color rgb="FF9933FF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7807-EAA3-49B8-819C-9C80E72155AB}">
  <dimension ref="A1:L81"/>
  <sheetViews>
    <sheetView tabSelected="1" workbookViewId="0">
      <selection activeCell="G11" sqref="G11"/>
    </sheetView>
  </sheetViews>
  <sheetFormatPr baseColWidth="10" defaultRowHeight="12.75" x14ac:dyDescent="0.2"/>
  <cols>
    <col min="1" max="1" width="11.140625" style="13" customWidth="1"/>
    <col min="2" max="2" width="9.7109375" style="13" bestFit="1" customWidth="1"/>
    <col min="3" max="3" width="16.5703125" style="13" customWidth="1"/>
    <col min="4" max="4" width="43.28515625" style="13" customWidth="1"/>
    <col min="5" max="5" width="14.42578125" style="13" customWidth="1"/>
    <col min="6" max="8" width="12" style="2" customWidth="1"/>
    <col min="9" max="16384" width="11.42578125" style="2"/>
  </cols>
  <sheetData>
    <row r="1" spans="1:5" s="3" customFormat="1" x14ac:dyDescent="0.2">
      <c r="A1" s="6" t="s">
        <v>9</v>
      </c>
      <c r="B1" s="6" t="s">
        <v>2</v>
      </c>
      <c r="C1" s="6" t="s">
        <v>17</v>
      </c>
      <c r="D1" s="6" t="s">
        <v>1</v>
      </c>
      <c r="E1" s="6" t="s">
        <v>0</v>
      </c>
    </row>
    <row r="2" spans="1:5" x14ac:dyDescent="0.2">
      <c r="A2" s="7">
        <v>46174</v>
      </c>
      <c r="B2" s="8" t="s">
        <v>18</v>
      </c>
      <c r="C2" s="8" t="s">
        <v>19</v>
      </c>
      <c r="D2" s="9" t="s">
        <v>11</v>
      </c>
      <c r="E2" s="10">
        <v>657600</v>
      </c>
    </row>
    <row r="3" spans="1:5" x14ac:dyDescent="0.2">
      <c r="A3" s="11">
        <v>46174</v>
      </c>
      <c r="B3" s="8" t="s">
        <v>18</v>
      </c>
      <c r="C3" s="8" t="s">
        <v>20</v>
      </c>
      <c r="D3" s="8" t="s">
        <v>7</v>
      </c>
      <c r="E3" s="12">
        <v>75000</v>
      </c>
    </row>
    <row r="4" spans="1:5" x14ac:dyDescent="0.2">
      <c r="A4" s="11">
        <v>46175</v>
      </c>
      <c r="B4" s="8" t="s">
        <v>18</v>
      </c>
      <c r="C4" s="8" t="s">
        <v>20</v>
      </c>
      <c r="D4" s="8" t="s">
        <v>8</v>
      </c>
      <c r="E4" s="12">
        <v>50000</v>
      </c>
    </row>
    <row r="5" spans="1:5" x14ac:dyDescent="0.2">
      <c r="A5" s="11">
        <v>46175</v>
      </c>
      <c r="B5" s="8" t="s">
        <v>18</v>
      </c>
      <c r="C5" s="8" t="s">
        <v>20</v>
      </c>
      <c r="D5" s="8" t="s">
        <v>10</v>
      </c>
      <c r="E5" s="12">
        <v>67000</v>
      </c>
    </row>
    <row r="6" spans="1:5" x14ac:dyDescent="0.2">
      <c r="A6" s="11">
        <v>46175</v>
      </c>
      <c r="B6" s="8" t="s">
        <v>18</v>
      </c>
      <c r="C6" s="8" t="s">
        <v>20</v>
      </c>
      <c r="D6" s="8" t="s">
        <v>12</v>
      </c>
      <c r="E6" s="12">
        <v>190000</v>
      </c>
    </row>
    <row r="7" spans="1:5" x14ac:dyDescent="0.2">
      <c r="A7" s="11">
        <v>46176</v>
      </c>
      <c r="B7" s="8" t="s">
        <v>18</v>
      </c>
      <c r="C7" s="8" t="s">
        <v>21</v>
      </c>
      <c r="D7" s="8" t="s">
        <v>13</v>
      </c>
      <c r="E7" s="12">
        <v>102000</v>
      </c>
    </row>
    <row r="8" spans="1:5" x14ac:dyDescent="0.2">
      <c r="A8" s="11">
        <v>46176</v>
      </c>
      <c r="B8" s="8" t="s">
        <v>18</v>
      </c>
      <c r="C8" s="8" t="s">
        <v>22</v>
      </c>
      <c r="D8" s="8" t="s">
        <v>14</v>
      </c>
      <c r="E8" s="12">
        <v>693000</v>
      </c>
    </row>
    <row r="9" spans="1:5" x14ac:dyDescent="0.2">
      <c r="A9" s="11">
        <v>46176</v>
      </c>
      <c r="B9" s="8" t="s">
        <v>18</v>
      </c>
      <c r="C9" s="8" t="s">
        <v>23</v>
      </c>
      <c r="D9" s="8" t="s">
        <v>15</v>
      </c>
      <c r="E9" s="12">
        <v>39000</v>
      </c>
    </row>
    <row r="10" spans="1:5" x14ac:dyDescent="0.2">
      <c r="A10" s="11">
        <v>46178</v>
      </c>
      <c r="B10" s="8" t="s">
        <v>18</v>
      </c>
      <c r="C10" s="8" t="s">
        <v>21</v>
      </c>
      <c r="D10" s="8" t="s">
        <v>16</v>
      </c>
      <c r="E10" s="12">
        <v>91700</v>
      </c>
    </row>
    <row r="11" spans="1:5" x14ac:dyDescent="0.2">
      <c r="A11" s="11">
        <v>46179</v>
      </c>
      <c r="B11" s="8" t="s">
        <v>18</v>
      </c>
      <c r="C11" s="8" t="s">
        <v>20</v>
      </c>
      <c r="D11" s="8" t="s">
        <v>24</v>
      </c>
      <c r="E11" s="12">
        <v>69800</v>
      </c>
    </row>
    <row r="12" spans="1:5" x14ac:dyDescent="0.2">
      <c r="A12" s="11">
        <v>46180</v>
      </c>
      <c r="B12" s="8" t="s">
        <v>18</v>
      </c>
      <c r="C12" s="8" t="s">
        <v>25</v>
      </c>
      <c r="D12" s="8" t="s">
        <v>26</v>
      </c>
      <c r="E12" s="12">
        <v>10000</v>
      </c>
    </row>
    <row r="13" spans="1:5" x14ac:dyDescent="0.2">
      <c r="A13" s="11">
        <v>46181</v>
      </c>
      <c r="B13" s="8" t="s">
        <v>18</v>
      </c>
      <c r="C13" s="8" t="s">
        <v>27</v>
      </c>
      <c r="D13" s="8" t="s">
        <v>28</v>
      </c>
      <c r="E13" s="12">
        <v>21000</v>
      </c>
    </row>
    <row r="14" spans="1:5" x14ac:dyDescent="0.2">
      <c r="A14" s="11">
        <v>46181</v>
      </c>
      <c r="B14" s="8" t="s">
        <v>18</v>
      </c>
      <c r="C14" s="8" t="s">
        <v>27</v>
      </c>
      <c r="D14" s="8" t="s">
        <v>29</v>
      </c>
      <c r="E14" s="12">
        <v>34000</v>
      </c>
    </row>
    <row r="15" spans="1:5" x14ac:dyDescent="0.2">
      <c r="A15" s="11">
        <v>46182</v>
      </c>
      <c r="B15" s="8" t="s">
        <v>18</v>
      </c>
      <c r="C15" s="8" t="s">
        <v>27</v>
      </c>
      <c r="D15" s="8" t="s">
        <v>30</v>
      </c>
      <c r="E15" s="12">
        <v>67800</v>
      </c>
    </row>
    <row r="16" spans="1:5" x14ac:dyDescent="0.2">
      <c r="A16" s="11">
        <v>46183</v>
      </c>
      <c r="B16" s="8" t="s">
        <v>18</v>
      </c>
      <c r="C16" s="8" t="s">
        <v>21</v>
      </c>
      <c r="D16" s="8" t="s">
        <v>13</v>
      </c>
      <c r="E16" s="12">
        <v>110000</v>
      </c>
    </row>
    <row r="17" spans="1:5" x14ac:dyDescent="0.2">
      <c r="A17" s="11">
        <v>46186</v>
      </c>
      <c r="B17" s="8" t="s">
        <v>18</v>
      </c>
      <c r="C17" s="8" t="s">
        <v>20</v>
      </c>
      <c r="D17" s="8" t="s">
        <v>30</v>
      </c>
      <c r="E17" s="12">
        <v>83800</v>
      </c>
    </row>
    <row r="18" spans="1:5" x14ac:dyDescent="0.2">
      <c r="A18" s="11">
        <v>46188</v>
      </c>
      <c r="B18" s="8" t="s">
        <v>18</v>
      </c>
      <c r="C18" s="8" t="s">
        <v>31</v>
      </c>
      <c r="D18" s="8" t="s">
        <v>32</v>
      </c>
      <c r="E18" s="12">
        <v>100000</v>
      </c>
    </row>
    <row r="19" spans="1:5" x14ac:dyDescent="0.2">
      <c r="A19" s="11">
        <v>46188</v>
      </c>
      <c r="B19" s="8" t="s">
        <v>18</v>
      </c>
      <c r="C19" s="8" t="s">
        <v>31</v>
      </c>
      <c r="D19" s="8" t="s">
        <v>33</v>
      </c>
      <c r="E19" s="12">
        <v>100000</v>
      </c>
    </row>
    <row r="20" spans="1:5" x14ac:dyDescent="0.2">
      <c r="A20" s="11">
        <v>46189</v>
      </c>
      <c r="B20" s="8" t="s">
        <v>18</v>
      </c>
      <c r="C20" s="8" t="s">
        <v>27</v>
      </c>
      <c r="D20" s="8" t="s">
        <v>34</v>
      </c>
      <c r="E20" s="12">
        <v>29500</v>
      </c>
    </row>
    <row r="21" spans="1:5" x14ac:dyDescent="0.2">
      <c r="A21" s="11">
        <v>46190</v>
      </c>
      <c r="B21" s="8" t="s">
        <v>18</v>
      </c>
      <c r="C21" s="8" t="s">
        <v>27</v>
      </c>
      <c r="D21" s="8" t="s">
        <v>35</v>
      </c>
      <c r="E21" s="12">
        <v>18000</v>
      </c>
    </row>
    <row r="22" spans="1:5" x14ac:dyDescent="0.2">
      <c r="A22" s="11">
        <v>46191</v>
      </c>
      <c r="B22" s="8" t="s">
        <v>18</v>
      </c>
      <c r="C22" s="8" t="s">
        <v>30</v>
      </c>
      <c r="D22" s="8" t="s">
        <v>30</v>
      </c>
      <c r="E22" s="12">
        <v>38000</v>
      </c>
    </row>
    <row r="23" spans="1:5" x14ac:dyDescent="0.2">
      <c r="A23" s="11">
        <v>46191</v>
      </c>
      <c r="B23" s="8" t="s">
        <v>18</v>
      </c>
      <c r="C23" s="8" t="s">
        <v>13</v>
      </c>
      <c r="D23" s="8" t="s">
        <v>13</v>
      </c>
      <c r="E23" s="12">
        <v>112500</v>
      </c>
    </row>
    <row r="24" spans="1:5" x14ac:dyDescent="0.2">
      <c r="A24" s="11">
        <v>46191</v>
      </c>
      <c r="B24" s="8" t="s">
        <v>18</v>
      </c>
      <c r="C24" s="8" t="s">
        <v>30</v>
      </c>
      <c r="D24" s="8" t="s">
        <v>36</v>
      </c>
      <c r="E24" s="12">
        <v>38000</v>
      </c>
    </row>
    <row r="25" spans="1:5" x14ac:dyDescent="0.2">
      <c r="A25" s="11">
        <v>46192</v>
      </c>
      <c r="B25" s="8" t="s">
        <v>18</v>
      </c>
      <c r="C25" s="8" t="s">
        <v>37</v>
      </c>
      <c r="D25" s="8" t="s">
        <v>38</v>
      </c>
      <c r="E25" s="12">
        <v>30000</v>
      </c>
    </row>
    <row r="26" spans="1:5" x14ac:dyDescent="0.2">
      <c r="A26" s="11">
        <v>46196</v>
      </c>
      <c r="B26" s="8" t="s">
        <v>18</v>
      </c>
      <c r="C26" s="8" t="s">
        <v>39</v>
      </c>
      <c r="D26" s="8" t="s">
        <v>39</v>
      </c>
      <c r="E26" s="12">
        <v>255950</v>
      </c>
    </row>
    <row r="27" spans="1:5" x14ac:dyDescent="0.2">
      <c r="A27" s="11">
        <v>46198</v>
      </c>
      <c r="B27" s="8" t="s">
        <v>18</v>
      </c>
      <c r="C27" s="8" t="s">
        <v>40</v>
      </c>
      <c r="D27" s="8" t="s">
        <v>41</v>
      </c>
      <c r="E27" s="12">
        <v>1543000</v>
      </c>
    </row>
    <row r="28" spans="1:5" x14ac:dyDescent="0.2">
      <c r="A28" s="11">
        <v>46198</v>
      </c>
      <c r="B28" s="8" t="s">
        <v>18</v>
      </c>
      <c r="C28" s="8" t="s">
        <v>42</v>
      </c>
      <c r="D28" s="8" t="s">
        <v>6</v>
      </c>
      <c r="E28" s="12">
        <v>800000</v>
      </c>
    </row>
    <row r="29" spans="1:5" x14ac:dyDescent="0.2">
      <c r="A29" s="11">
        <v>46199</v>
      </c>
      <c r="B29" s="8" t="s">
        <v>18</v>
      </c>
      <c r="C29" s="8" t="s">
        <v>43</v>
      </c>
      <c r="D29" s="8" t="s">
        <v>43</v>
      </c>
      <c r="E29" s="12">
        <v>32000</v>
      </c>
    </row>
    <row r="30" spans="1:5" x14ac:dyDescent="0.2">
      <c r="A30" s="11">
        <v>46199</v>
      </c>
      <c r="B30" s="8" t="s">
        <v>18</v>
      </c>
      <c r="C30" s="8" t="s">
        <v>30</v>
      </c>
      <c r="D30" s="8" t="s">
        <v>30</v>
      </c>
      <c r="E30" s="12">
        <v>55900</v>
      </c>
    </row>
    <row r="31" spans="1:5" x14ac:dyDescent="0.2">
      <c r="A31" s="11">
        <v>46200</v>
      </c>
      <c r="B31" s="8" t="s">
        <v>44</v>
      </c>
      <c r="C31" s="8" t="s">
        <v>45</v>
      </c>
      <c r="D31" s="8" t="s">
        <v>46</v>
      </c>
      <c r="E31" s="12">
        <v>30000</v>
      </c>
    </row>
    <row r="32" spans="1:5" x14ac:dyDescent="0.2">
      <c r="A32" s="11">
        <v>46203</v>
      </c>
      <c r="B32" s="8" t="s">
        <v>18</v>
      </c>
      <c r="C32" s="8" t="s">
        <v>47</v>
      </c>
      <c r="D32" s="8" t="s">
        <v>48</v>
      </c>
      <c r="E32" s="12">
        <v>100000</v>
      </c>
    </row>
    <row r="33" spans="1:12" x14ac:dyDescent="0.2">
      <c r="A33" s="4">
        <v>46204</v>
      </c>
      <c r="B33" s="8" t="s">
        <v>18</v>
      </c>
      <c r="C33" s="8" t="s">
        <v>13</v>
      </c>
      <c r="D33" s="8" t="s">
        <v>49</v>
      </c>
      <c r="E33" s="12">
        <v>192500</v>
      </c>
    </row>
    <row r="34" spans="1:12" x14ac:dyDescent="0.2">
      <c r="A34" s="11">
        <v>46210</v>
      </c>
      <c r="B34" s="8" t="s">
        <v>18</v>
      </c>
      <c r="C34" s="8" t="s">
        <v>27</v>
      </c>
      <c r="D34" s="8" t="s">
        <v>35</v>
      </c>
      <c r="E34" s="12">
        <v>29000</v>
      </c>
      <c r="L34" s="2">
        <v>100</v>
      </c>
    </row>
    <row r="35" spans="1:12" x14ac:dyDescent="0.2">
      <c r="A35" s="11">
        <v>46210</v>
      </c>
      <c r="B35" s="8" t="s">
        <v>18</v>
      </c>
      <c r="C35" s="8" t="s">
        <v>4</v>
      </c>
      <c r="D35" s="8" t="s">
        <v>50</v>
      </c>
      <c r="E35" s="12">
        <v>147100</v>
      </c>
      <c r="L35" s="5">
        <v>1</v>
      </c>
    </row>
    <row r="36" spans="1:12" x14ac:dyDescent="0.2">
      <c r="A36" s="11">
        <v>46210</v>
      </c>
      <c r="B36" s="8" t="s">
        <v>18</v>
      </c>
      <c r="C36" s="8" t="s">
        <v>4</v>
      </c>
      <c r="D36" s="8" t="s">
        <v>51</v>
      </c>
      <c r="E36" s="12">
        <v>187300</v>
      </c>
    </row>
    <row r="37" spans="1:12" x14ac:dyDescent="0.2">
      <c r="A37" s="11">
        <v>46213</v>
      </c>
      <c r="B37" s="8" t="s">
        <v>18</v>
      </c>
      <c r="C37" s="8" t="s">
        <v>20</v>
      </c>
      <c r="D37" s="8" t="s">
        <v>30</v>
      </c>
      <c r="E37" s="12">
        <v>110000</v>
      </c>
    </row>
    <row r="38" spans="1:12" x14ac:dyDescent="0.2">
      <c r="A38" s="11">
        <v>46213</v>
      </c>
      <c r="B38" s="8" t="s">
        <v>18</v>
      </c>
      <c r="C38" s="8" t="s">
        <v>20</v>
      </c>
      <c r="D38" s="8" t="s">
        <v>30</v>
      </c>
      <c r="E38" s="12">
        <v>75800</v>
      </c>
    </row>
    <row r="39" spans="1:12" x14ac:dyDescent="0.2">
      <c r="A39" s="11">
        <v>46218</v>
      </c>
      <c r="B39" s="8" t="s">
        <v>18</v>
      </c>
      <c r="C39" s="8" t="s">
        <v>52</v>
      </c>
      <c r="D39" s="8" t="s">
        <v>13</v>
      </c>
      <c r="E39" s="12">
        <v>236500</v>
      </c>
      <c r="F39" s="2" t="s">
        <v>53</v>
      </c>
    </row>
    <row r="40" spans="1:12" x14ac:dyDescent="0.2">
      <c r="A40" s="11">
        <v>46220</v>
      </c>
      <c r="B40" s="8" t="s">
        <v>18</v>
      </c>
      <c r="C40" s="8" t="s">
        <v>20</v>
      </c>
      <c r="D40" s="8" t="s">
        <v>54</v>
      </c>
      <c r="E40" s="12">
        <v>100000</v>
      </c>
    </row>
    <row r="41" spans="1:12" x14ac:dyDescent="0.2">
      <c r="A41" s="11">
        <v>46222</v>
      </c>
      <c r="B41" s="8" t="s">
        <v>18</v>
      </c>
      <c r="C41" s="8" t="s">
        <v>5</v>
      </c>
      <c r="D41" s="8" t="s">
        <v>28</v>
      </c>
      <c r="E41" s="12">
        <v>19000</v>
      </c>
    </row>
    <row r="42" spans="1:12" x14ac:dyDescent="0.2">
      <c r="A42" s="11">
        <v>46221</v>
      </c>
      <c r="B42" s="8" t="s">
        <v>18</v>
      </c>
      <c r="C42" s="8" t="s">
        <v>55</v>
      </c>
      <c r="D42" s="8" t="s">
        <v>55</v>
      </c>
      <c r="E42" s="12">
        <v>88850</v>
      </c>
    </row>
    <row r="43" spans="1:12" x14ac:dyDescent="0.2">
      <c r="A43" s="11">
        <v>46224</v>
      </c>
      <c r="B43" s="8" t="s">
        <v>18</v>
      </c>
      <c r="C43" s="8" t="s">
        <v>5</v>
      </c>
      <c r="D43" s="8" t="s">
        <v>56</v>
      </c>
      <c r="E43" s="12">
        <v>8000</v>
      </c>
    </row>
    <row r="44" spans="1:12" x14ac:dyDescent="0.2">
      <c r="A44" s="11">
        <v>46227</v>
      </c>
      <c r="B44" s="8" t="s">
        <v>18</v>
      </c>
      <c r="C44" s="8" t="s">
        <v>5</v>
      </c>
      <c r="D44" s="8" t="s">
        <v>54</v>
      </c>
      <c r="E44" s="12">
        <v>66900</v>
      </c>
    </row>
    <row r="45" spans="1:12" x14ac:dyDescent="0.2">
      <c r="A45" s="11">
        <v>46226</v>
      </c>
      <c r="B45" s="8" t="s">
        <v>18</v>
      </c>
      <c r="C45" s="8" t="s">
        <v>57</v>
      </c>
      <c r="D45" s="8" t="s">
        <v>13</v>
      </c>
      <c r="E45" s="12">
        <v>188800</v>
      </c>
    </row>
    <row r="46" spans="1:12" x14ac:dyDescent="0.2">
      <c r="A46" s="11">
        <v>46228</v>
      </c>
      <c r="B46" s="8" t="s">
        <v>18</v>
      </c>
      <c r="C46" s="8" t="s">
        <v>5</v>
      </c>
      <c r="D46" s="8" t="s">
        <v>58</v>
      </c>
      <c r="E46" s="12">
        <v>125000</v>
      </c>
    </row>
    <row r="47" spans="1:12" x14ac:dyDescent="0.2">
      <c r="A47" s="11">
        <v>46228</v>
      </c>
      <c r="B47" s="8" t="s">
        <v>18</v>
      </c>
      <c r="C47" s="8" t="s">
        <v>5</v>
      </c>
      <c r="D47" s="8" t="s">
        <v>56</v>
      </c>
      <c r="E47" s="12">
        <v>22500</v>
      </c>
    </row>
    <row r="48" spans="1:12" x14ac:dyDescent="0.2">
      <c r="A48" s="11">
        <v>46231</v>
      </c>
      <c r="B48" s="8" t="s">
        <v>18</v>
      </c>
      <c r="C48" s="8" t="s">
        <v>5</v>
      </c>
      <c r="D48" s="8" t="s">
        <v>13</v>
      </c>
      <c r="E48" s="12">
        <v>108400</v>
      </c>
    </row>
    <row r="49" spans="1:5" x14ac:dyDescent="0.2">
      <c r="A49" s="11">
        <v>46233</v>
      </c>
      <c r="B49" s="8" t="s">
        <v>18</v>
      </c>
      <c r="C49" s="8" t="s">
        <v>5</v>
      </c>
      <c r="D49" s="8" t="s">
        <v>54</v>
      </c>
      <c r="E49" s="12">
        <v>63000</v>
      </c>
    </row>
    <row r="50" spans="1:5" x14ac:dyDescent="0.2">
      <c r="A50" s="4">
        <v>46237</v>
      </c>
      <c r="B50" s="8" t="s">
        <v>18</v>
      </c>
      <c r="C50" s="8" t="s">
        <v>20</v>
      </c>
      <c r="D50" s="8" t="s">
        <v>54</v>
      </c>
      <c r="E50" s="12">
        <v>95000</v>
      </c>
    </row>
    <row r="51" spans="1:5" x14ac:dyDescent="0.2">
      <c r="A51" s="11">
        <v>46237</v>
      </c>
      <c r="B51" s="8" t="s">
        <v>18</v>
      </c>
      <c r="C51" s="8" t="s">
        <v>5</v>
      </c>
      <c r="D51" s="8" t="s">
        <v>13</v>
      </c>
      <c r="E51" s="12">
        <v>236800</v>
      </c>
    </row>
    <row r="52" spans="1:5" x14ac:dyDescent="0.2">
      <c r="A52" s="11">
        <v>46237</v>
      </c>
      <c r="B52" s="8" t="s">
        <v>18</v>
      </c>
      <c r="C52" s="8" t="s">
        <v>4</v>
      </c>
      <c r="D52" s="8" t="s">
        <v>59</v>
      </c>
      <c r="E52" s="12">
        <v>273600</v>
      </c>
    </row>
    <row r="53" spans="1:5" x14ac:dyDescent="0.2">
      <c r="A53" s="11">
        <v>46238</v>
      </c>
      <c r="B53" s="8" t="s">
        <v>18</v>
      </c>
      <c r="C53" s="8" t="s">
        <v>4</v>
      </c>
      <c r="D53" s="8" t="s">
        <v>60</v>
      </c>
      <c r="E53" s="12">
        <v>69200</v>
      </c>
    </row>
    <row r="54" spans="1:5" x14ac:dyDescent="0.2">
      <c r="A54" s="11">
        <v>46238</v>
      </c>
      <c r="B54" s="8" t="s">
        <v>18</v>
      </c>
      <c r="C54" s="8" t="s">
        <v>4</v>
      </c>
      <c r="D54" s="8" t="s">
        <v>3</v>
      </c>
      <c r="E54" s="12">
        <v>118200</v>
      </c>
    </row>
    <row r="55" spans="1:5" x14ac:dyDescent="0.2">
      <c r="A55" s="11">
        <v>46240</v>
      </c>
      <c r="B55" s="8" t="s">
        <v>18</v>
      </c>
      <c r="C55" s="8" t="s">
        <v>20</v>
      </c>
      <c r="D55" s="8" t="s">
        <v>54</v>
      </c>
      <c r="E55" s="12">
        <v>87000</v>
      </c>
    </row>
    <row r="56" spans="1:5" x14ac:dyDescent="0.2">
      <c r="A56" s="11">
        <v>46242</v>
      </c>
      <c r="B56" s="8" t="s">
        <v>18</v>
      </c>
      <c r="C56" s="8" t="s">
        <v>5</v>
      </c>
      <c r="D56" s="8" t="s">
        <v>61</v>
      </c>
      <c r="E56" s="12">
        <v>35000</v>
      </c>
    </row>
    <row r="57" spans="1:5" x14ac:dyDescent="0.2">
      <c r="A57" s="11">
        <v>46242</v>
      </c>
      <c r="B57" s="8" t="s">
        <v>18</v>
      </c>
      <c r="C57" s="8" t="s">
        <v>20</v>
      </c>
      <c r="D57" s="8" t="s">
        <v>54</v>
      </c>
      <c r="E57" s="12">
        <v>69300</v>
      </c>
    </row>
    <row r="58" spans="1:5" x14ac:dyDescent="0.2">
      <c r="A58" s="11">
        <v>46245</v>
      </c>
      <c r="B58" s="8" t="s">
        <v>18</v>
      </c>
      <c r="C58" s="8" t="s">
        <v>54</v>
      </c>
      <c r="D58" s="8" t="s">
        <v>54</v>
      </c>
      <c r="E58" s="12">
        <v>162933</v>
      </c>
    </row>
    <row r="59" spans="1:5" x14ac:dyDescent="0.2">
      <c r="A59" s="11">
        <v>46245</v>
      </c>
      <c r="B59" s="8" t="s">
        <v>18</v>
      </c>
      <c r="C59" s="8" t="s">
        <v>39</v>
      </c>
      <c r="D59" s="8" t="s">
        <v>39</v>
      </c>
      <c r="E59" s="12">
        <v>187900</v>
      </c>
    </row>
    <row r="60" spans="1:5" x14ac:dyDescent="0.2">
      <c r="A60" s="11">
        <v>46247</v>
      </c>
      <c r="B60" s="8" t="s">
        <v>18</v>
      </c>
      <c r="C60" s="8" t="s">
        <v>20</v>
      </c>
      <c r="D60" s="8" t="s">
        <v>62</v>
      </c>
      <c r="E60" s="12">
        <f>63700+126000</f>
        <v>189700</v>
      </c>
    </row>
    <row r="61" spans="1:5" x14ac:dyDescent="0.2">
      <c r="A61" s="11">
        <v>46248</v>
      </c>
      <c r="B61" s="8" t="s">
        <v>18</v>
      </c>
      <c r="C61" s="8" t="s">
        <v>63</v>
      </c>
      <c r="D61" s="8" t="s">
        <v>13</v>
      </c>
      <c r="E61" s="12">
        <v>182000</v>
      </c>
    </row>
    <row r="62" spans="1:5" x14ac:dyDescent="0.2">
      <c r="A62" s="11">
        <v>46248</v>
      </c>
      <c r="B62" s="8" t="s">
        <v>18</v>
      </c>
      <c r="C62" s="8" t="s">
        <v>20</v>
      </c>
      <c r="D62" s="8" t="s">
        <v>54</v>
      </c>
      <c r="E62" s="12">
        <v>55900</v>
      </c>
    </row>
    <row r="63" spans="1:5" x14ac:dyDescent="0.2">
      <c r="A63" s="11">
        <v>46250</v>
      </c>
      <c r="B63" s="8" t="s">
        <v>18</v>
      </c>
      <c r="C63" s="8" t="s">
        <v>5</v>
      </c>
      <c r="D63" s="8" t="s">
        <v>28</v>
      </c>
      <c r="E63" s="12">
        <v>36000</v>
      </c>
    </row>
    <row r="64" spans="1:5" x14ac:dyDescent="0.2">
      <c r="A64" s="11">
        <v>46250</v>
      </c>
      <c r="B64" s="8" t="s">
        <v>18</v>
      </c>
      <c r="C64" s="8" t="s">
        <v>64</v>
      </c>
      <c r="D64" s="8" t="s">
        <v>65</v>
      </c>
      <c r="E64" s="12">
        <v>60000</v>
      </c>
    </row>
    <row r="65" spans="1:5" x14ac:dyDescent="0.2">
      <c r="A65" s="11">
        <v>46258</v>
      </c>
      <c r="B65" s="8" t="s">
        <v>18</v>
      </c>
      <c r="C65" s="8" t="s">
        <v>20</v>
      </c>
      <c r="D65" s="8" t="s">
        <v>30</v>
      </c>
      <c r="E65" s="12">
        <v>162000</v>
      </c>
    </row>
    <row r="66" spans="1:5" x14ac:dyDescent="0.2">
      <c r="A66" s="11">
        <v>46259</v>
      </c>
      <c r="B66" s="8" t="s">
        <v>18</v>
      </c>
      <c r="C66" s="8" t="s">
        <v>5</v>
      </c>
      <c r="D66" s="8" t="s">
        <v>28</v>
      </c>
      <c r="E66" s="12">
        <v>10000</v>
      </c>
    </row>
    <row r="67" spans="1:5" x14ac:dyDescent="0.2">
      <c r="A67" s="11">
        <v>46261</v>
      </c>
      <c r="B67" s="8" t="s">
        <v>18</v>
      </c>
      <c r="C67" s="8" t="s">
        <v>5</v>
      </c>
      <c r="D67" s="8" t="s">
        <v>54</v>
      </c>
      <c r="E67" s="12">
        <v>56000</v>
      </c>
    </row>
    <row r="68" spans="1:5" x14ac:dyDescent="0.2">
      <c r="A68" s="11">
        <v>46262</v>
      </c>
      <c r="B68" s="8" t="s">
        <v>18</v>
      </c>
      <c r="C68" s="8" t="s">
        <v>66</v>
      </c>
      <c r="D68" s="8" t="s">
        <v>67</v>
      </c>
      <c r="E68" s="12">
        <v>600000</v>
      </c>
    </row>
    <row r="69" spans="1:5" x14ac:dyDescent="0.2">
      <c r="A69" s="11">
        <v>46262</v>
      </c>
      <c r="B69" s="8" t="s">
        <v>18</v>
      </c>
      <c r="C69" s="8" t="s">
        <v>68</v>
      </c>
      <c r="D69" s="8" t="s">
        <v>69</v>
      </c>
      <c r="E69" s="12">
        <v>10000</v>
      </c>
    </row>
    <row r="70" spans="1:5" x14ac:dyDescent="0.2">
      <c r="A70" s="11">
        <v>46265</v>
      </c>
      <c r="B70" s="8" t="s">
        <v>18</v>
      </c>
      <c r="C70" s="8" t="s">
        <v>45</v>
      </c>
      <c r="D70" s="8" t="s">
        <v>56</v>
      </c>
      <c r="E70" s="12">
        <v>44000</v>
      </c>
    </row>
    <row r="71" spans="1:5" x14ac:dyDescent="0.2">
      <c r="A71" s="8"/>
      <c r="B71" s="8"/>
      <c r="C71" s="8"/>
      <c r="D71" s="8"/>
      <c r="E71" s="12">
        <v>0</v>
      </c>
    </row>
    <row r="72" spans="1:5" x14ac:dyDescent="0.2">
      <c r="A72" s="8"/>
      <c r="B72" s="8"/>
      <c r="C72" s="8"/>
      <c r="D72" s="8"/>
      <c r="E72" s="12">
        <v>0</v>
      </c>
    </row>
    <row r="73" spans="1:5" x14ac:dyDescent="0.2">
      <c r="A73" s="8"/>
      <c r="B73" s="8"/>
      <c r="C73" s="8"/>
      <c r="D73" s="8"/>
      <c r="E73" s="12">
        <v>0</v>
      </c>
    </row>
    <row r="74" spans="1:5" x14ac:dyDescent="0.2">
      <c r="A74" s="8"/>
      <c r="B74" s="8"/>
      <c r="C74" s="8"/>
      <c r="D74" s="8"/>
      <c r="E74" s="12">
        <v>0</v>
      </c>
    </row>
    <row r="75" spans="1:5" x14ac:dyDescent="0.2">
      <c r="A75" s="8"/>
      <c r="B75" s="8"/>
      <c r="C75" s="8"/>
      <c r="D75" s="8"/>
      <c r="E75" s="12">
        <v>0</v>
      </c>
    </row>
    <row r="76" spans="1:5" x14ac:dyDescent="0.2">
      <c r="A76" s="8"/>
      <c r="B76" s="8"/>
      <c r="C76" s="8"/>
      <c r="D76" s="8"/>
      <c r="E76" s="12">
        <v>0</v>
      </c>
    </row>
    <row r="77" spans="1:5" x14ac:dyDescent="0.2">
      <c r="A77" s="8"/>
      <c r="B77" s="8"/>
      <c r="C77" s="8"/>
      <c r="D77" s="8"/>
      <c r="E77" s="12">
        <v>0</v>
      </c>
    </row>
    <row r="78" spans="1:5" x14ac:dyDescent="0.2">
      <c r="A78" s="8"/>
      <c r="B78" s="8"/>
      <c r="C78" s="8"/>
      <c r="D78" s="8"/>
      <c r="E78" s="12">
        <v>0</v>
      </c>
    </row>
    <row r="79" spans="1:5" x14ac:dyDescent="0.2">
      <c r="A79" s="8"/>
      <c r="B79" s="8"/>
      <c r="C79" s="8"/>
      <c r="D79" s="8"/>
      <c r="E79" s="12">
        <v>0</v>
      </c>
    </row>
    <row r="80" spans="1:5" x14ac:dyDescent="0.2">
      <c r="E80" s="12"/>
    </row>
    <row r="81" spans="5:5" x14ac:dyDescent="0.2">
      <c r="E81" s="1">
        <f>SUBTOTAL(9,E2:E79)</f>
        <v>10153733</v>
      </c>
    </row>
  </sheetData>
  <phoneticPr fontId="3" type="noConversion"/>
  <pageMargins left="0.7" right="0.7" top="0.75" bottom="0.75" header="0.3" footer="0.3"/>
  <pageSetup paperSize="12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Guevara</dc:creator>
  <cp:lastModifiedBy>Fabian Guevara</cp:lastModifiedBy>
  <dcterms:created xsi:type="dcterms:W3CDTF">2025-06-17T22:43:06Z</dcterms:created>
  <dcterms:modified xsi:type="dcterms:W3CDTF">2026-09-08T18:55:11Z</dcterms:modified>
</cp:coreProperties>
</file>